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ms-excel.controlproperties+xml" PartName="/xl/ctrlProps/ctrlProp1.xml"/>
  <Override ContentType="application/vnd.ms-excel.controlproperties+xml" PartName="/xl/ctrlProps/ctrlProp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>
    <mc:Choice Requires="x15">
      <x15ac:absPath xmlns:x15ac="http://schemas.microsoft.com/office/spreadsheetml/2010/11/ac" url="C:\Users\Bristowt\Downloads\"/>
    </mc:Choice>
  </mc:AlternateContent>
  <xr:revisionPtr revIDLastSave="0" documentId="8_{FF7C0F73-8A25-4D7E-A979-5AD88DAC647C}" xr6:coauthVersionLast="47" xr6:coauthVersionMax="47" xr10:uidLastSave="{00000000-0000-0000-0000-000000000000}"/>
  <bookViews>
    <workbookView xWindow="-25710" yWindow="-3700" windowWidth="25820" windowHeight="14020" xr2:uid="{00000000-000D-0000-FFFF-FFFF00000000}"/>
  </bookViews>
  <sheets>
    <sheet name="Change Request" sheetId="4" r:id="rId1"/>
    <sheet name="Change Risk Assessment" sheetId="1" r:id="rId2"/>
    <sheet name="Criteria" sheetId="2" r:id="rId3"/>
    <sheet name="Threats" sheetId="3" r:id="rId4"/>
    <sheet name="EXAMPLE Change Risk Assessment" sheetId="5" r:id="rId5"/>
  </sheets>
  <definedNames>
    <definedName name="_xlnm.Print_Titles" localSheetId="1">'Change Risk Assessment'!$1:$6</definedName>
    <definedName name="_xlnm.Print_Titles" localSheetId="4">'EXAMPLE Change Risk Assessment'!$1:$6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" i="1" l="1"/>
  <c r="AB11" i="5"/>
  <c r="AF11" i="5" s="1"/>
  <c r="AL11" i="5" s="1"/>
  <c r="AL17" i="1"/>
  <c r="AL16" i="1"/>
  <c r="AL15" i="1"/>
  <c r="AL14" i="1"/>
  <c r="AL13" i="1"/>
  <c r="AL12" i="1"/>
  <c r="AL10" i="1"/>
  <c r="AM10" i="1" s="1"/>
  <c r="AL9" i="1"/>
  <c r="AF17" i="1"/>
  <c r="AF16" i="1"/>
  <c r="AF15" i="1"/>
  <c r="AF14" i="1"/>
  <c r="AF13" i="1"/>
  <c r="AF12" i="1"/>
  <c r="AF11" i="1"/>
  <c r="AL11" i="1" s="1"/>
  <c r="AM11" i="1" s="1"/>
  <c r="AF10" i="1"/>
  <c r="AF9" i="1"/>
  <c r="AF13" i="5"/>
  <c r="AF12" i="5"/>
  <c r="AL12" i="5" s="1"/>
  <c r="AF10" i="5"/>
  <c r="AF9" i="5"/>
  <c r="AL13" i="5"/>
  <c r="AL10" i="5"/>
  <c r="AK17" i="5"/>
  <c r="AL17" i="5" s="1"/>
  <c r="AM17" i="5" s="1"/>
  <c r="AD17" i="5"/>
  <c r="AF17" i="5" s="1"/>
  <c r="AE17" i="5" s="1"/>
  <c r="AB17" i="5"/>
  <c r="AK16" i="5"/>
  <c r="AL16" i="5" s="1"/>
  <c r="AM16" i="5" s="1"/>
  <c r="AF16" i="5"/>
  <c r="AE16" i="5" s="1"/>
  <c r="AD16" i="5"/>
  <c r="AB16" i="5"/>
  <c r="AL15" i="5"/>
  <c r="AM15" i="5" s="1"/>
  <c r="AK15" i="5"/>
  <c r="AD15" i="5"/>
  <c r="AF15" i="5" s="1"/>
  <c r="AE15" i="5" s="1"/>
  <c r="AB15" i="5"/>
  <c r="AK14" i="5"/>
  <c r="AL14" i="5" s="1"/>
  <c r="AM14" i="5" s="1"/>
  <c r="AD14" i="5"/>
  <c r="AF14" i="5" s="1"/>
  <c r="AE14" i="5" s="1"/>
  <c r="AB14" i="5"/>
  <c r="AK13" i="5"/>
  <c r="AE13" i="5"/>
  <c r="AD13" i="5"/>
  <c r="AB13" i="5"/>
  <c r="AK12" i="5"/>
  <c r="AD12" i="5"/>
  <c r="AE12" i="5" s="1"/>
  <c r="AB12" i="5"/>
  <c r="AK11" i="5"/>
  <c r="AD11" i="5"/>
  <c r="AK10" i="5"/>
  <c r="AD10" i="5"/>
  <c r="AE10" i="5" s="1"/>
  <c r="AB10" i="5"/>
  <c r="AK9" i="5"/>
  <c r="AD9" i="5"/>
  <c r="AE9" i="5" s="1"/>
  <c r="AB9" i="5"/>
  <c r="AK8" i="5"/>
  <c r="AD8" i="5"/>
  <c r="AB8" i="5"/>
  <c r="AK8" i="1"/>
  <c r="AM17" i="1"/>
  <c r="AK17" i="1"/>
  <c r="AM16" i="1"/>
  <c r="AK16" i="1"/>
  <c r="AM15" i="1"/>
  <c r="AK15" i="1"/>
  <c r="AM14" i="1"/>
  <c r="AK14" i="1"/>
  <c r="AM13" i="1"/>
  <c r="AK13" i="1"/>
  <c r="AK12" i="1"/>
  <c r="AM12" i="1" s="1"/>
  <c r="AK11" i="1"/>
  <c r="AK10" i="1"/>
  <c r="AM9" i="1"/>
  <c r="AK9" i="1"/>
  <c r="AE17" i="1"/>
  <c r="AD17" i="1"/>
  <c r="AD16" i="1"/>
  <c r="AE16" i="1" s="1"/>
  <c r="AD15" i="1"/>
  <c r="AE15" i="1" s="1"/>
  <c r="AE14" i="1"/>
  <c r="AD14" i="1"/>
  <c r="AD13" i="1"/>
  <c r="AE13" i="1" s="1"/>
  <c r="AD12" i="1"/>
  <c r="AD11" i="1"/>
  <c r="AD10" i="1"/>
  <c r="AE10" i="1" s="1"/>
  <c r="AD9" i="1"/>
  <c r="AE9" i="1" s="1"/>
  <c r="AD8" i="1"/>
  <c r="AB17" i="1"/>
  <c r="AB16" i="1"/>
  <c r="AB15" i="1"/>
  <c r="AB14" i="1"/>
  <c r="AB13" i="1"/>
  <c r="AB12" i="1"/>
  <c r="AB10" i="1"/>
  <c r="AB9" i="1"/>
  <c r="AB8" i="1"/>
  <c r="W18" i="5"/>
  <c r="K18" i="5"/>
  <c r="M18" i="5" s="1"/>
  <c r="G18" i="5"/>
  <c r="W17" i="5"/>
  <c r="K17" i="5"/>
  <c r="M17" i="5" s="1"/>
  <c r="G17" i="5"/>
  <c r="W16" i="5"/>
  <c r="M16" i="5"/>
  <c r="L16" i="5" s="1"/>
  <c r="K16" i="5"/>
  <c r="G16" i="5"/>
  <c r="W15" i="5"/>
  <c r="K15" i="5"/>
  <c r="M15" i="5" s="1"/>
  <c r="G15" i="5"/>
  <c r="W14" i="5"/>
  <c r="K14" i="5"/>
  <c r="M14" i="5" s="1"/>
  <c r="G14" i="5"/>
  <c r="W13" i="5"/>
  <c r="K13" i="5"/>
  <c r="M13" i="5" s="1"/>
  <c r="G13" i="5"/>
  <c r="W12" i="5"/>
  <c r="K12" i="5"/>
  <c r="M12" i="5" s="1"/>
  <c r="G12" i="5"/>
  <c r="W11" i="5"/>
  <c r="K11" i="5"/>
  <c r="G11" i="5"/>
  <c r="M11" i="5" s="1"/>
  <c r="W10" i="5"/>
  <c r="K10" i="5"/>
  <c r="M10" i="5" s="1"/>
  <c r="G10" i="5"/>
  <c r="W9" i="5"/>
  <c r="M9" i="5"/>
  <c r="X9" i="5" s="1"/>
  <c r="Y9" i="5" s="1"/>
  <c r="K9" i="5"/>
  <c r="G9" i="5"/>
  <c r="W8" i="5"/>
  <c r="M8" i="5"/>
  <c r="X8" i="5" s="1"/>
  <c r="Y8" i="5" s="1"/>
  <c r="K8" i="5"/>
  <c r="G8" i="5"/>
  <c r="Y17" i="1"/>
  <c r="Y16" i="1"/>
  <c r="Y15" i="1"/>
  <c r="Y14" i="1"/>
  <c r="Y13" i="1"/>
  <c r="Y12" i="1"/>
  <c r="Y11" i="1"/>
  <c r="AE11" i="1" l="1"/>
  <c r="AE11" i="5"/>
  <c r="AL9" i="5"/>
  <c r="AM9" i="5" s="1"/>
  <c r="AE12" i="1"/>
  <c r="AM13" i="5"/>
  <c r="AM10" i="5"/>
  <c r="AM11" i="5"/>
  <c r="AM12" i="5"/>
  <c r="AF8" i="5"/>
  <c r="AE8" i="5" s="1"/>
  <c r="AF8" i="1"/>
  <c r="AL8" i="1" s="1"/>
  <c r="AM8" i="1" s="1"/>
  <c r="X13" i="5"/>
  <c r="Y13" i="5" s="1"/>
  <c r="L13" i="5"/>
  <c r="X11" i="5"/>
  <c r="Y11" i="5" s="1"/>
  <c r="L11" i="5"/>
  <c r="L14" i="5"/>
  <c r="X14" i="5"/>
  <c r="Y14" i="5" s="1"/>
  <c r="X18" i="5"/>
  <c r="Y18" i="5" s="1"/>
  <c r="L18" i="5"/>
  <c r="X12" i="5"/>
  <c r="Y12" i="5" s="1"/>
  <c r="L12" i="5"/>
  <c r="X17" i="5"/>
  <c r="Y17" i="5" s="1"/>
  <c r="L17" i="5"/>
  <c r="L15" i="5"/>
  <c r="X15" i="5"/>
  <c r="Y15" i="5" s="1"/>
  <c r="L10" i="5"/>
  <c r="X10" i="5"/>
  <c r="Y10" i="5" s="1"/>
  <c r="L8" i="5"/>
  <c r="X16" i="5"/>
  <c r="Y16" i="5" s="1"/>
  <c r="L9" i="5"/>
  <c r="AL8" i="5" l="1"/>
  <c r="AM8" i="5" s="1"/>
  <c r="AE8" i="1"/>
  <c r="G9" i="1"/>
  <c r="G8" i="1"/>
  <c r="W17" i="1"/>
  <c r="W16" i="1"/>
  <c r="W15" i="1"/>
  <c r="W14" i="1"/>
  <c r="W13" i="1"/>
  <c r="W12" i="1"/>
  <c r="W11" i="1"/>
  <c r="W10" i="1"/>
  <c r="W9" i="1"/>
  <c r="W8" i="1"/>
  <c r="W17" i="2"/>
  <c r="W18" i="2"/>
  <c r="W19" i="2"/>
  <c r="G17" i="1"/>
  <c r="M17" i="1" s="1"/>
  <c r="G16" i="1"/>
  <c r="M16" i="1" s="1"/>
  <c r="G15" i="1"/>
  <c r="M15" i="1" s="1"/>
  <c r="L15" i="1" s="1"/>
  <c r="G14" i="1"/>
  <c r="G13" i="1"/>
  <c r="G12" i="1"/>
  <c r="G10" i="1"/>
  <c r="W24" i="2"/>
  <c r="W23" i="2"/>
  <c r="W22" i="2"/>
  <c r="W21" i="2"/>
  <c r="W20" i="2"/>
  <c r="R16" i="2"/>
  <c r="W16" i="2" s="1"/>
  <c r="K17" i="1"/>
  <c r="K16" i="1"/>
  <c r="K15" i="1"/>
  <c r="K14" i="1"/>
  <c r="M14" i="1" s="1"/>
  <c r="K13" i="1"/>
  <c r="K12" i="1"/>
  <c r="M12" i="1"/>
  <c r="X12" i="1" s="1"/>
  <c r="K11" i="1"/>
  <c r="M11" i="1" s="1"/>
  <c r="K10" i="1"/>
  <c r="K9" i="1"/>
  <c r="K8" i="1"/>
  <c r="M10" i="1" l="1"/>
  <c r="X10" i="1" s="1"/>
  <c r="Y10" i="1" s="1"/>
  <c r="M8" i="1"/>
  <c r="X8" i="1" s="1"/>
  <c r="Y8" i="1" s="1"/>
  <c r="L16" i="1"/>
  <c r="X16" i="1"/>
  <c r="M9" i="1"/>
  <c r="L9" i="1" s="1"/>
  <c r="M13" i="1"/>
  <c r="X13" i="1" s="1"/>
  <c r="X15" i="1"/>
  <c r="L12" i="1"/>
  <c r="X17" i="1"/>
  <c r="L17" i="1"/>
  <c r="L11" i="1"/>
  <c r="X11" i="1"/>
  <c r="X14" i="1"/>
  <c r="L14" i="1"/>
  <c r="L10" i="1" l="1"/>
  <c r="X9" i="1"/>
  <c r="Y9" i="1" s="1"/>
  <c r="L8" i="1"/>
  <c r="L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Bristow</author>
    <author>Tanya</author>
  </authors>
  <commentList>
    <comment ref="N5" authorId="0" shapeId="0" xr:uid="{8CE0F63D-E683-403D-828D-2EF9889FE017}">
      <text>
        <r>
          <rPr>
            <sz val="9"/>
            <color indexed="81"/>
            <rFont val="Tahoma"/>
            <charset val="1"/>
          </rPr>
          <t>This will vary, for example a new accounting software couldl affect:-
Invoicing
Ordering
Credit Control
Accounts Preparation</t>
        </r>
      </text>
    </comment>
    <comment ref="O5" authorId="0" shapeId="0" xr:uid="{E538F66E-E96A-47C8-9D5F-4FFB47FA331C}">
      <text>
        <r>
          <rPr>
            <sz val="9"/>
            <color indexed="81"/>
            <rFont val="Tahoma"/>
            <charset val="1"/>
          </rPr>
          <t>This will vary, for example a new accounting software couldl affect:-
Invoicing
Ordering
Credit Control
Accounts Preparation</t>
        </r>
      </text>
    </comment>
    <comment ref="P5" authorId="0" shapeId="0" xr:uid="{741AC5DA-5A2E-4E5F-9FA2-006FC38D3F63}">
      <text>
        <r>
          <rPr>
            <sz val="9"/>
            <color indexed="81"/>
            <rFont val="Tahoma"/>
            <charset val="1"/>
          </rPr>
          <t>This will vary, for example a new accounting software couldl affect:-
Invoicing
Ordering
Credit Control
Accounts Preparation</t>
        </r>
      </text>
    </comment>
    <comment ref="Q5" authorId="0" shapeId="0" xr:uid="{9262FD4A-E8EF-49E7-A34F-96336A11815E}">
      <text>
        <r>
          <rPr>
            <sz val="9"/>
            <color indexed="81"/>
            <rFont val="Tahoma"/>
            <charset val="1"/>
          </rPr>
          <t>This will vary, for example a new accounting software couldl affect:-
Invoicing
Ordering
Credit Control
Accounts Preparation</t>
        </r>
      </text>
    </comment>
    <comment ref="R5" authorId="0" shapeId="0" xr:uid="{2F245949-2F9E-45E7-A0F3-36DF47697121}">
      <text>
        <r>
          <rPr>
            <sz val="9"/>
            <color indexed="81"/>
            <rFont val="Tahoma"/>
            <charset val="1"/>
          </rPr>
          <t>This will vary, for example a new accounting software couldl affect:-
Invoicing
Ordering
Credit Control
Accounts Preparation</t>
        </r>
      </text>
    </comment>
    <comment ref="B7" authorId="1" shapeId="0" xr:uid="{00000000-0006-0000-0100-000001000000}">
      <text>
        <r>
          <rPr>
            <sz val="9"/>
            <color indexed="81"/>
            <rFont val="Calibri"/>
            <family val="2"/>
            <scheme val="minor"/>
          </rPr>
          <t>Transportable equipment
Fixed equipment
Processing peripherals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Tanya</author>
  </authors>
  <commentList>
    <comment ref="B7" authorId="0" shapeId="0" xr:uid="{8F6BEB03-5FF6-4BEF-8722-70F4E74B18A0}">
      <text>
        <r>
          <rPr>
            <sz val="9"/>
            <color indexed="81"/>
            <rFont val="Calibri"/>
            <family val="2"/>
            <scheme val="minor"/>
          </rPr>
          <t>Transportable equipment
Fixed equipment
Processing peripherals</t>
        </r>
      </text>
    </comment>
  </commentList>
</comments>
</file>

<file path=xl/sharedStrings.xml><?xml version="1.0" encoding="utf-8"?>
<sst xmlns="http://schemas.openxmlformats.org/spreadsheetml/2006/main" count="503" uniqueCount="241">
  <si>
    <t>CHANGE REQUEST FORM</t>
  </si>
  <si>
    <t>Equipment/Software/Supplier</t>
  </si>
  <si>
    <t>Reference no.</t>
  </si>
  <si>
    <t>Originator name</t>
  </si>
  <si>
    <t>Originator signature</t>
  </si>
  <si>
    <t>Date raised</t>
  </si>
  <si>
    <t>Change proposed</t>
  </si>
  <si>
    <t>Risk assessment completed</t>
  </si>
  <si>
    <t xml:space="preserve">Yes                                 No                      </t>
  </si>
  <si>
    <t>If no, justification given</t>
  </si>
  <si>
    <t>Purchase cost</t>
  </si>
  <si>
    <t>Estimated cost of implementation</t>
  </si>
  <si>
    <t>Cost benefit analysis and justification for change</t>
  </si>
  <si>
    <t>Departmental manager approval</t>
  </si>
  <si>
    <t>Date</t>
  </si>
  <si>
    <t>Departmental manager comments</t>
  </si>
  <si>
    <t>Departmental manager signature</t>
  </si>
  <si>
    <t>IS Manager approval</t>
  </si>
  <si>
    <t>IS Manager comments</t>
  </si>
  <si>
    <t>IS Manager signature</t>
  </si>
  <si>
    <t>CHANGE RISK ASSESSMENT</t>
  </si>
  <si>
    <r>
      <t xml:space="preserve">Note: Refer to the </t>
    </r>
    <r>
      <rPr>
        <b/>
        <u/>
        <sz val="11"/>
        <color theme="1"/>
        <rFont val="Calibri"/>
        <family val="2"/>
        <scheme val="minor"/>
      </rPr>
      <t>Information Asset and Risk Assessment Procedure</t>
    </r>
    <r>
      <rPr>
        <sz val="11"/>
        <color theme="1"/>
        <rFont val="Calibri"/>
        <family val="2"/>
        <scheme val="minor"/>
      </rPr>
      <t xml:space="preserve"> for guidance on how to apply the correct risk assessment methodology</t>
    </r>
  </si>
  <si>
    <t>Ref</t>
  </si>
  <si>
    <r>
      <t xml:space="preserve">Change Ref: </t>
    </r>
    <r>
      <rPr>
        <b/>
        <sz val="11"/>
        <color indexed="10"/>
        <rFont val="Calibri"/>
        <family val="2"/>
        <scheme val="minor"/>
      </rPr>
      <t>&lt;insert&gt;</t>
    </r>
  </si>
  <si>
    <t>Location</t>
  </si>
  <si>
    <t>Owner</t>
  </si>
  <si>
    <t>Threat</t>
  </si>
  <si>
    <t>Frequency of threat occurrence</t>
  </si>
  <si>
    <t>Vulnerability</t>
  </si>
  <si>
    <t>Existing control measures</t>
  </si>
  <si>
    <t>Prob of vulnerability breach</t>
  </si>
  <si>
    <t>Event likelihood</t>
  </si>
  <si>
    <t>Key processes affected</t>
  </si>
  <si>
    <t>Impact of security incident</t>
  </si>
  <si>
    <t>Risk Rating</t>
  </si>
  <si>
    <t>Frequency</t>
  </si>
  <si>
    <t>Score</t>
  </si>
  <si>
    <t>% of instances</t>
  </si>
  <si>
    <t>Rating</t>
  </si>
  <si>
    <t>C</t>
  </si>
  <si>
    <t>I</t>
  </si>
  <si>
    <t>A</t>
  </si>
  <si>
    <t>Severity</t>
  </si>
  <si>
    <t>Category</t>
  </si>
  <si>
    <t>Asset Affected</t>
  </si>
  <si>
    <t>Actions/Additional Controls Required (must included additional controls if Risk Rating &gt;15)</t>
  </si>
  <si>
    <t>Responsibility</t>
  </si>
  <si>
    <t>Required Completion Date</t>
  </si>
  <si>
    <t>Assessment Team</t>
  </si>
  <si>
    <t>Role</t>
  </si>
  <si>
    <t>Name</t>
  </si>
  <si>
    <t>Signature</t>
  </si>
  <si>
    <t>ISMS RISK ASSESSMENT AND RISK TREATMENT CRITERIA</t>
  </si>
  <si>
    <t>Frequency of Threat Occurrence</t>
  </si>
  <si>
    <t>Probability of Vulnerability Breach</t>
  </si>
  <si>
    <t>Impact of Security Event</t>
  </si>
  <si>
    <t>Probability</t>
  </si>
  <si>
    <t>Event Severity</t>
  </si>
  <si>
    <t>Impact</t>
  </si>
  <si>
    <t>Financial Cost</t>
  </si>
  <si>
    <t>&lt;1/year</t>
  </si>
  <si>
    <t>&lt;1% of instances</t>
  </si>
  <si>
    <t>Insignificant</t>
  </si>
  <si>
    <t>Likely to create ill feeling with one or two low value clients. No associated fines or prosecutions. Loss does not have commercial implications.</t>
  </si>
  <si>
    <t>&lt;£0</t>
  </si>
  <si>
    <t>1/month to 1/year</t>
  </si>
  <si>
    <t>1% to 20% of instances</t>
  </si>
  <si>
    <t>&gt;1/month</t>
  </si>
  <si>
    <t>&gt;20% of instances</t>
  </si>
  <si>
    <t>Minor</t>
  </si>
  <si>
    <t>Likely to create ill feeling with several low value or medium clients. No prosecutions or contractual penalties. Information loss has minor impact on business competitiveness</t>
  </si>
  <si>
    <t>&lt;£50,000</t>
  </si>
  <si>
    <t>Moderate</t>
  </si>
  <si>
    <t>Jeopardise relationships with several medium value clients. Low level prosecutions and/or contract penalties. but fines are not punitive. Information loss likely to  impact business competitiveness.</t>
  </si>
  <si>
    <t>£50,000 - £250,000</t>
  </si>
  <si>
    <t>Event Likelihood Matrix</t>
  </si>
  <si>
    <t>High</t>
  </si>
  <si>
    <t>Loss of one major client or multiple lower level clients. Punitive prosecution and/or contractual penalties and/or drawn out litigation. Information loss will have a long term impact on business competitiveness</t>
  </si>
  <si>
    <t>10% - 20% of turnover</t>
  </si>
  <si>
    <t>Threat Frequency</t>
  </si>
  <si>
    <t>Prob of Vulnerability Breach</t>
  </si>
  <si>
    <t>Likelihood</t>
  </si>
  <si>
    <t>Likelihood Score</t>
  </si>
  <si>
    <t>(Threat + Prob)</t>
  </si>
  <si>
    <t>Major</t>
  </si>
  <si>
    <t>Severe threat to the business survival, may result in a loss of 50% or higher of business clients, potential business suspension and director imprisonment. Information loss could lead to complete market withdrawal.</t>
  </si>
  <si>
    <t>&gt;20% of turnover</t>
  </si>
  <si>
    <t>Very Low</t>
  </si>
  <si>
    <t>Low</t>
  </si>
  <si>
    <t>Medium</t>
  </si>
  <si>
    <t>Risk Rating and Risk Treatment Rules</t>
  </si>
  <si>
    <t>Very High</t>
  </si>
  <si>
    <t>Very Low 
(1)</t>
  </si>
  <si>
    <t>Low
(3)</t>
  </si>
  <si>
    <t>Medium
(4)</t>
  </si>
  <si>
    <t>High 
(5)</t>
  </si>
  <si>
    <t>Very High 
(6)</t>
  </si>
  <si>
    <t>Business Impact</t>
  </si>
  <si>
    <t>Insignificant 
(1)</t>
  </si>
  <si>
    <t>&lt;1/year (3)</t>
  </si>
  <si>
    <t>Medium (4)</t>
  </si>
  <si>
    <t>High (5)</t>
  </si>
  <si>
    <t>Very High (6)</t>
  </si>
  <si>
    <t>Minor 
(2)</t>
  </si>
  <si>
    <t>1/month to 1/year (2)</t>
  </si>
  <si>
    <t>Low (3)</t>
  </si>
  <si>
    <t>RISK</t>
  </si>
  <si>
    <t>Moderate 
(3)</t>
  </si>
  <si>
    <t>&lt;1/year (1)</t>
  </si>
  <si>
    <t>Very Low (2)</t>
  </si>
  <si>
    <t>RATING</t>
  </si>
  <si>
    <t>High 
(4)</t>
  </si>
  <si>
    <t>&lt;1% of instances (1)</t>
  </si>
  <si>
    <t>1% to 20% of instances (2)</t>
  </si>
  <si>
    <t>&gt;20% of instances (3)</t>
  </si>
  <si>
    <t>Major 
(5)</t>
  </si>
  <si>
    <t>&lt;5</t>
  </si>
  <si>
    <t>Risk considered contained, monitor security incidents and changing threats and technologies</t>
  </si>
  <si>
    <t>Probability of vulnerability breach</t>
  </si>
  <si>
    <t>5-15</t>
  </si>
  <si>
    <t>Monitor risk and control measures and implement additional control where cost effective to do so</t>
  </si>
  <si>
    <t>&gt;15</t>
  </si>
  <si>
    <t>Identify and implement additional control measures to reduce risk. Detail actions in the Improvement Log</t>
  </si>
  <si>
    <t>POTENTIAL THREAT LIST</t>
  </si>
  <si>
    <t>Type</t>
  </si>
  <si>
    <t>Origin</t>
  </si>
  <si>
    <t>Source</t>
  </si>
  <si>
    <t>Physical damage</t>
  </si>
  <si>
    <t>Fire</t>
  </si>
  <si>
    <t>A,D,E</t>
  </si>
  <si>
    <t>A = Accidental</t>
  </si>
  <si>
    <t>Employee</t>
  </si>
  <si>
    <t>Water damage</t>
  </si>
  <si>
    <t>Contractor</t>
  </si>
  <si>
    <t>Pollution</t>
  </si>
  <si>
    <t>Supplier</t>
  </si>
  <si>
    <t>Major accident</t>
  </si>
  <si>
    <t>Customer</t>
  </si>
  <si>
    <t>Destruction of equipment or media</t>
  </si>
  <si>
    <t>Regulator</t>
  </si>
  <si>
    <t>Dust, corrosion, freezing</t>
  </si>
  <si>
    <t>Public</t>
  </si>
  <si>
    <t>Natural events</t>
  </si>
  <si>
    <t>Climatic phenomenon</t>
  </si>
  <si>
    <t>E</t>
  </si>
  <si>
    <t>D = Deliberate</t>
  </si>
  <si>
    <t>Hacker, cracker</t>
  </si>
  <si>
    <t>Seismic phenomenon</t>
  </si>
  <si>
    <t>Criminal</t>
  </si>
  <si>
    <t>Volcanic phenomenon</t>
  </si>
  <si>
    <t>Terrorist</t>
  </si>
  <si>
    <t>Flood</t>
  </si>
  <si>
    <t>Industrial (competitor)</t>
  </si>
  <si>
    <t>Pandemic</t>
  </si>
  <si>
    <t>Current employee</t>
  </si>
  <si>
    <t>Loss of essential services</t>
  </si>
  <si>
    <t>Failure of air-conditioning</t>
  </si>
  <si>
    <t>Former employee</t>
  </si>
  <si>
    <t>Failure of water supply</t>
  </si>
  <si>
    <t>E= Environmental</t>
  </si>
  <si>
    <t>Failure of telecommunication equipment</t>
  </si>
  <si>
    <t>Loss of power supply</t>
  </si>
  <si>
    <t>Disturbance due to radiation</t>
  </si>
  <si>
    <t>Electromagnetic radiation</t>
  </si>
  <si>
    <t>Thermal radiation</t>
  </si>
  <si>
    <t>Electromagnetic pulses</t>
  </si>
  <si>
    <t>Compromise of functions</t>
  </si>
  <si>
    <t>Interception of compromising interference signals</t>
  </si>
  <si>
    <t>D</t>
  </si>
  <si>
    <t>Remote spying</t>
  </si>
  <si>
    <t>Eavesdropping</t>
  </si>
  <si>
    <t>Theft of media or documents</t>
  </si>
  <si>
    <t>Retrieval of recycled or discarded media</t>
  </si>
  <si>
    <t>Disclosure</t>
  </si>
  <si>
    <t>A,D</t>
  </si>
  <si>
    <t>Data from untrustworthy sources</t>
  </si>
  <si>
    <t>Tampering with hardware</t>
  </si>
  <si>
    <t>Tampering with software</t>
  </si>
  <si>
    <t>Position detection</t>
  </si>
  <si>
    <t>Technical failures</t>
  </si>
  <si>
    <t>Equipment failure</t>
  </si>
  <si>
    <t>Equipment malfunction</t>
  </si>
  <si>
    <t>Saturation of the information system</t>
  </si>
  <si>
    <t>Software malfunction</t>
  </si>
  <si>
    <t>Breach of information system maintainability</t>
  </si>
  <si>
    <t>Unauthorised actions</t>
  </si>
  <si>
    <t>Unauthorised use of equipment</t>
  </si>
  <si>
    <t>Fraudulent copying of software</t>
  </si>
  <si>
    <t>Use of counterfeit or copied software</t>
  </si>
  <si>
    <t>Corruption of data</t>
  </si>
  <si>
    <t>Illegal processing of data</t>
  </si>
  <si>
    <t>Error in use</t>
  </si>
  <si>
    <t>Abuse of rights</t>
  </si>
  <si>
    <t>Forging of rights</t>
  </si>
  <si>
    <t>Denial of actions</t>
  </si>
  <si>
    <t>Breach of personnel availability</t>
  </si>
  <si>
    <t>1/month-1/year</t>
  </si>
  <si>
    <t>&gt;20%</t>
  </si>
  <si>
    <t>Change Ref: 12345</t>
  </si>
  <si>
    <t>Invoicing</t>
  </si>
  <si>
    <t>Credit Control</t>
  </si>
  <si>
    <t>Sales Order Processing</t>
  </si>
  <si>
    <t>Tax Returns</t>
  </si>
  <si>
    <t>Accounts Preparation</t>
  </si>
  <si>
    <t>Accountancy Software</t>
  </si>
  <si>
    <t>Cloud hosted</t>
  </si>
  <si>
    <t>DV</t>
  </si>
  <si>
    <t>Malicious hack on SAGE services</t>
  </si>
  <si>
    <t>SAGE are ISO 27001 certified, using Tier 1 Data Centres</t>
  </si>
  <si>
    <t>&lt;1%</t>
  </si>
  <si>
    <t>X</t>
  </si>
  <si>
    <t>Technical Failures</t>
  </si>
  <si>
    <t>Loss of data access</t>
  </si>
  <si>
    <t>Unauthorised Actions</t>
  </si>
  <si>
    <t>Sharing of access privaledges (supplier)</t>
  </si>
  <si>
    <t>SAGE are ISO 27001 certified</t>
  </si>
  <si>
    <t>Compromise of data</t>
  </si>
  <si>
    <t>Operator error</t>
  </si>
  <si>
    <t>Full on-boarding training</t>
  </si>
  <si>
    <t>Sharing of access privaledges (internal)</t>
  </si>
  <si>
    <t>2-factor authentification will be used</t>
  </si>
  <si>
    <t>Loss of data during transfer to new provider</t>
  </si>
  <si>
    <t>Supplier will effect the transfer and complete post integrity checks</t>
  </si>
  <si>
    <t>1%-20%</t>
  </si>
  <si>
    <t>Full-backup of existing data set taken prior to data transfer - plus restore test</t>
  </si>
  <si>
    <t>JVR</t>
  </si>
  <si>
    <t>Full reconcilliation and validation of data post transfer by our external finance auditors</t>
  </si>
  <si>
    <t>BL</t>
  </si>
  <si>
    <t>2,3</t>
  </si>
  <si>
    <t>Establish process for taking monthly back-ups of data taken immediatly post each month end close</t>
  </si>
  <si>
    <t>Finance Director</t>
  </si>
  <si>
    <t>D.Vance</t>
  </si>
  <si>
    <t>IT Director</t>
  </si>
  <si>
    <t>J.Richards</t>
  </si>
  <si>
    <t>Financial Controller</t>
  </si>
  <si>
    <t>B.Lord</t>
  </si>
  <si>
    <t>Purchasing Manager</t>
  </si>
  <si>
    <t>J. Edwards</t>
  </si>
  <si>
    <t>RECALCUALTED RISK RATING AFTER PROPOSED ACTIONS/ADDITIONAL CONTROLS REQUIRED</t>
  </si>
  <si>
    <t>Implement SSO on software to remove the ability to share login credentials</t>
  </si>
  <si>
    <t>Actions/Additional Controls Required to reduce risk (must included additional controls if Risk Rating &gt;15)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</si>
</sst>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9"/>
      <color indexed="81"/>
      <name val="Tahoma"/>
      <charset val="1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4" fillId="0" borderId="0" xfId="0" applyFont="1" applyAlignment="1" applyProtection="1">
      <alignment vertical="center"/>
      <protection locked="0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5" xfId="0" applyFont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1" fillId="7" borderId="6" xfId="0" applyFont="1" applyFill="1" applyBorder="1" applyAlignment="1" applyProtection="1">
      <alignment horizontal="center" vertical="center"/>
      <protection locked="0"/>
    </xf>
    <xf numFmtId="0" fontId="1" fillId="7" borderId="24" xfId="0" applyFont="1" applyFill="1" applyBorder="1" applyAlignment="1" applyProtection="1">
      <alignment horizontal="center" vertical="center"/>
      <protection locked="0"/>
    </xf>
    <xf numFmtId="0" fontId="1" fillId="7" borderId="16" xfId="0" applyFont="1" applyFill="1" applyBorder="1" applyAlignment="1" applyProtection="1">
      <alignment horizontal="center" vertical="center"/>
      <protection locked="0"/>
    </xf>
    <xf numFmtId="0" fontId="1" fillId="7" borderId="24" xfId="0" applyFont="1" applyFill="1" applyBorder="1" applyAlignment="1" applyProtection="1">
      <alignment horizontal="center" vertical="center" wrapText="1"/>
      <protection locked="0"/>
    </xf>
    <xf numFmtId="0" fontId="1" fillId="7" borderId="16" xfId="0" applyFont="1" applyFill="1" applyBorder="1" applyAlignment="1" applyProtection="1">
      <alignment vertical="center"/>
      <protection locked="0"/>
    </xf>
    <xf numFmtId="0" fontId="1" fillId="7" borderId="16" xfId="0" applyFont="1" applyFill="1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vertical="center"/>
    </xf>
    <xf numFmtId="0" fontId="8" fillId="8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51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6" xfId="0" applyBorder="1"/>
    <xf numFmtId="0" fontId="0" fillId="0" borderId="59" xfId="0" applyBorder="1"/>
    <xf numFmtId="0" fontId="0" fillId="0" borderId="52" xfId="0" applyBorder="1"/>
    <xf numFmtId="0" fontId="0" fillId="0" borderId="14" xfId="0" applyBorder="1"/>
    <xf numFmtId="0" fontId="0" fillId="8" borderId="16" xfId="0" applyFill="1" applyBorder="1"/>
    <xf numFmtId="0" fontId="1" fillId="7" borderId="6" xfId="0" applyFont="1" applyFill="1" applyBorder="1"/>
    <xf numFmtId="0" fontId="1" fillId="7" borderId="17" xfId="0" applyFont="1" applyFill="1" applyBorder="1"/>
    <xf numFmtId="0" fontId="1" fillId="8" borderId="26" xfId="0" applyFont="1" applyFill="1" applyBorder="1" applyAlignment="1" applyProtection="1">
      <alignment vertical="center"/>
      <protection locked="0"/>
    </xf>
    <xf numFmtId="0" fontId="0" fillId="8" borderId="26" xfId="0" applyFill="1" applyBorder="1" applyAlignment="1" applyProtection="1">
      <alignment horizontal="center" vertical="center"/>
      <protection locked="0"/>
    </xf>
    <xf numFmtId="0" fontId="0" fillId="8" borderId="25" xfId="0" applyFill="1" applyBorder="1" applyAlignment="1" applyProtection="1">
      <alignment vertical="center"/>
      <protection locked="0"/>
    </xf>
    <xf numFmtId="0" fontId="0" fillId="8" borderId="28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8" xfId="0" applyFill="1" applyBorder="1" applyAlignment="1" applyProtection="1">
      <alignment horizontal="center" vertical="center"/>
      <protection locked="0"/>
    </xf>
    <xf numFmtId="0" fontId="0" fillId="8" borderId="22" xfId="0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" fillId="7" borderId="10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left" vertical="center"/>
    </xf>
    <xf numFmtId="0" fontId="1" fillId="7" borderId="33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" fillId="7" borderId="25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6" xfId="0" applyBorder="1" applyAlignment="1">
      <alignment horizontal="left" vertical="top"/>
    </xf>
    <xf numFmtId="0" fontId="1" fillId="7" borderId="24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3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" fillId="7" borderId="10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top"/>
    </xf>
    <xf numFmtId="0" fontId="1" fillId="7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7" borderId="25" xfId="0" applyFont="1" applyFill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42" xfId="0" applyBorder="1" applyAlignment="1" applyProtection="1">
      <alignment horizontal="center" vertical="center"/>
      <protection locked="0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1" fillId="8" borderId="6" xfId="0" applyFont="1" applyFill="1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left" vertical="center"/>
      <protection locked="0"/>
    </xf>
    <xf numFmtId="0" fontId="0" fillId="0" borderId="30" xfId="0" applyBorder="1" applyAlignment="1" applyProtection="1">
      <alignment horizontal="left" vertical="center"/>
      <protection locked="0"/>
    </xf>
    <xf numFmtId="0" fontId="0" fillId="0" borderId="34" xfId="0" applyBorder="1" applyAlignment="1" applyProtection="1">
      <alignment horizontal="left" vertical="center"/>
      <protection locked="0"/>
    </xf>
    <xf numFmtId="0" fontId="0" fillId="0" borderId="41" xfId="0" applyBorder="1" applyAlignment="1" applyProtection="1">
      <alignment horizontal="left" vertical="center"/>
      <protection locked="0"/>
    </xf>
    <xf numFmtId="0" fontId="0" fillId="0" borderId="29" xfId="0" applyBorder="1" applyAlignment="1" applyProtection="1">
      <alignment horizontal="left" vertical="center"/>
      <protection locked="0"/>
    </xf>
    <xf numFmtId="0" fontId="0" fillId="0" borderId="35" xfId="0" applyBorder="1" applyAlignment="1" applyProtection="1">
      <alignment horizontal="left" vertical="center"/>
      <protection locked="0"/>
    </xf>
    <xf numFmtId="0" fontId="0" fillId="0" borderId="42" xfId="0" applyBorder="1" applyAlignment="1" applyProtection="1">
      <alignment horizontal="left" vertical="center"/>
      <protection locked="0"/>
    </xf>
    <xf numFmtId="0" fontId="0" fillId="0" borderId="37" xfId="0" applyBorder="1" applyAlignment="1" applyProtection="1">
      <alignment horizontal="left" vertical="center"/>
      <protection locked="0"/>
    </xf>
    <xf numFmtId="0" fontId="0" fillId="0" borderId="38" xfId="0" applyBorder="1" applyAlignment="1" applyProtection="1">
      <alignment horizontal="left" vertical="center"/>
      <protection locked="0"/>
    </xf>
    <xf numFmtId="0" fontId="1" fillId="7" borderId="6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7" borderId="6" xfId="0" applyFont="1" applyFill="1" applyBorder="1" applyAlignment="1" applyProtection="1">
      <alignment horizontal="center" vertical="center"/>
      <protection locked="0"/>
    </xf>
    <xf numFmtId="0" fontId="1" fillId="7" borderId="17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32" xfId="0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1" fillId="7" borderId="25" xfId="0" applyFont="1" applyFill="1" applyBorder="1" applyAlignment="1" applyProtection="1">
      <alignment horizontal="center" vertical="center"/>
      <protection locked="0"/>
    </xf>
    <xf numFmtId="0" fontId="1" fillId="7" borderId="6" xfId="0" applyFont="1" applyFill="1" applyBorder="1" applyAlignment="1" applyProtection="1">
      <alignment horizontal="center" vertical="center" wrapText="1"/>
      <protection locked="0"/>
    </xf>
    <xf numFmtId="0" fontId="1" fillId="7" borderId="16" xfId="0" applyFont="1" applyFill="1" applyBorder="1" applyAlignment="1" applyProtection="1">
      <alignment horizontal="center" vertical="center" textRotation="90" wrapText="1"/>
      <protection locked="0"/>
    </xf>
    <xf numFmtId="0" fontId="1" fillId="7" borderId="6" xfId="0" applyFont="1" applyFill="1" applyBorder="1" applyAlignment="1" applyProtection="1">
      <alignment horizontal="center" vertical="center" textRotation="90" wrapText="1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left" vertical="center"/>
      <protection locked="0"/>
    </xf>
    <xf numFmtId="0" fontId="1" fillId="7" borderId="25" xfId="0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" fillId="8" borderId="49" xfId="0" applyFont="1" applyFill="1" applyBorder="1" applyAlignment="1">
      <alignment horizontal="center" vertical="center"/>
    </xf>
    <xf numFmtId="0" fontId="1" fillId="8" borderId="50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1" fillId="7" borderId="54" xfId="0" applyFont="1" applyFill="1" applyBorder="1" applyAlignment="1">
      <alignment horizontal="center" vertical="center" wrapText="1"/>
    </xf>
    <xf numFmtId="0" fontId="1" fillId="7" borderId="55" xfId="0" applyFont="1" applyFill="1" applyBorder="1" applyAlignment="1">
      <alignment horizontal="center" vertical="center" wrapText="1"/>
    </xf>
    <xf numFmtId="0" fontId="1" fillId="7" borderId="53" xfId="0" applyFont="1" applyFill="1" applyBorder="1" applyAlignment="1">
      <alignment horizontal="center" vertical="center" wrapText="1"/>
    </xf>
    <xf numFmtId="0" fontId="1" fillId="7" borderId="41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7" borderId="42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3" fillId="8" borderId="54" xfId="0" applyFont="1" applyFill="1" applyBorder="1" applyAlignment="1">
      <alignment horizontal="center" vertical="center"/>
    </xf>
    <xf numFmtId="0" fontId="3" fillId="8" borderId="55" xfId="0" applyFont="1" applyFill="1" applyBorder="1" applyAlignment="1">
      <alignment horizontal="center" vertical="center"/>
    </xf>
    <xf numFmtId="0" fontId="3" fillId="8" borderId="53" xfId="0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4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7" borderId="54" xfId="0" applyFill="1" applyBorder="1" applyAlignment="1">
      <alignment horizontal="center" vertical="center" textRotation="90" wrapText="1"/>
    </xf>
    <xf numFmtId="0" fontId="0" fillId="7" borderId="53" xfId="0" applyFill="1" applyBorder="1" applyAlignment="1">
      <alignment vertical="center" wrapText="1"/>
    </xf>
    <xf numFmtId="0" fontId="0" fillId="7" borderId="41" xfId="0" applyFill="1" applyBorder="1" applyAlignment="1">
      <alignment vertical="center" wrapText="1"/>
    </xf>
    <xf numFmtId="0" fontId="0" fillId="7" borderId="35" xfId="0" applyFill="1" applyBorder="1" applyAlignment="1">
      <alignment vertical="center" wrapText="1"/>
    </xf>
    <xf numFmtId="0" fontId="0" fillId="7" borderId="42" xfId="0" applyFill="1" applyBorder="1" applyAlignment="1">
      <alignment vertical="center" wrapText="1"/>
    </xf>
    <xf numFmtId="0" fontId="0" fillId="7" borderId="38" xfId="0" applyFill="1" applyBorder="1" applyAlignment="1">
      <alignment vertical="center" wrapText="1"/>
    </xf>
    <xf numFmtId="0" fontId="0" fillId="7" borderId="4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/>
    </xf>
    <xf numFmtId="0" fontId="0" fillId="0" borderId="29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 wrapText="1"/>
    </xf>
    <xf numFmtId="0" fontId="0" fillId="0" borderId="29" xfId="0" applyBorder="1" applyAlignment="1">
      <alignment horizontal="center" vertical="center" textRotation="90" wrapText="1"/>
    </xf>
    <xf numFmtId="0" fontId="0" fillId="0" borderId="34" xfId="0" applyBorder="1" applyAlignment="1">
      <alignment horizontal="center" vertical="center" textRotation="90"/>
    </xf>
    <xf numFmtId="0" fontId="0" fillId="0" borderId="35" xfId="0" applyBorder="1" applyAlignment="1">
      <alignment horizontal="center" vertical="center" textRotation="90"/>
    </xf>
    <xf numFmtId="0" fontId="0" fillId="6" borderId="54" xfId="0" applyFill="1" applyBorder="1" applyAlignment="1">
      <alignment horizontal="center" vertical="center" wrapText="1"/>
    </xf>
    <xf numFmtId="0" fontId="0" fillId="6" borderId="55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2" borderId="41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17" fontId="1" fillId="6" borderId="21" xfId="0" quotePrefix="1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3" fillId="8" borderId="54" xfId="0" applyFont="1" applyFill="1" applyBorder="1" applyAlignment="1">
      <alignment horizontal="center" vertical="center" textRotation="90"/>
    </xf>
    <xf numFmtId="0" fontId="3" fillId="8" borderId="53" xfId="0" applyFont="1" applyFill="1" applyBorder="1" applyAlignment="1">
      <alignment horizontal="center" vertical="center" textRotation="90"/>
    </xf>
    <xf numFmtId="0" fontId="3" fillId="8" borderId="41" xfId="0" applyFont="1" applyFill="1" applyBorder="1" applyAlignment="1">
      <alignment horizontal="center" vertical="center" textRotation="90"/>
    </xf>
    <xf numFmtId="0" fontId="3" fillId="8" borderId="35" xfId="0" applyFont="1" applyFill="1" applyBorder="1" applyAlignment="1">
      <alignment horizontal="center" vertical="center" textRotation="90"/>
    </xf>
    <xf numFmtId="0" fontId="3" fillId="8" borderId="42" xfId="0" applyFont="1" applyFill="1" applyBorder="1" applyAlignment="1">
      <alignment horizontal="center" vertical="center" textRotation="90"/>
    </xf>
    <xf numFmtId="0" fontId="3" fillId="8" borderId="38" xfId="0" applyFont="1" applyFill="1" applyBorder="1" applyAlignment="1">
      <alignment horizontal="center" vertical="center" textRotation="90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29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  <xf numFmtId="0" fontId="0" fillId="4" borderId="55" xfId="0" applyFill="1" applyBorder="1" applyAlignment="1">
      <alignment horizontal="center" vertical="center" wrapText="1"/>
    </xf>
    <xf numFmtId="0" fontId="0" fillId="4" borderId="53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4" borderId="35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 wrapText="1"/>
    </xf>
    <xf numFmtId="0" fontId="0" fillId="8" borderId="25" xfId="0" applyFill="1" applyBorder="1" applyAlignment="1">
      <alignment horizontal="left" vertical="center"/>
    </xf>
    <xf numFmtId="0" fontId="0" fillId="8" borderId="33" xfId="0" applyFill="1" applyBorder="1" applyAlignment="1">
      <alignment horizontal="left" vertical="center"/>
    </xf>
    <xf numFmtId="0" fontId="0" fillId="8" borderId="24" xfId="0" applyFill="1" applyBorder="1" applyAlignment="1">
      <alignment horizontal="left" vertical="center"/>
    </xf>
    <xf numFmtId="14" fontId="0" fillId="0" borderId="41" xfId="0" applyNumberFormat="1" applyBorder="1" applyAlignment="1" applyProtection="1">
      <alignment horizontal="center" vertical="center"/>
      <protection locked="0"/>
    </xf>
    <xf numFmtId="14" fontId="0" fillId="0" borderId="42" xfId="0" applyNumberFormat="1" applyBorder="1" applyAlignment="1" applyProtection="1">
      <alignment horizontal="center" vertical="center"/>
      <protection locked="0"/>
    </xf>
    <xf numFmtId="14" fontId="0" fillId="0" borderId="40" xfId="0" applyNumberFormat="1" applyBorder="1" applyAlignment="1" applyProtection="1">
      <alignment horizontal="center" vertical="center"/>
      <protection locked="0"/>
    </xf>
    <xf numFmtId="14" fontId="0" fillId="0" borderId="32" xfId="0" applyNumberFormat="1" applyBorder="1" applyAlignment="1" applyProtection="1">
      <alignment horizontal="center" vertical="center"/>
      <protection locked="0"/>
    </xf>
    <xf numFmtId="14" fontId="0" fillId="0" borderId="31" xfId="0" applyNumberFormat="1" applyBorder="1" applyAlignment="1" applyProtection="1">
      <alignment horizontal="center" vertical="center"/>
      <protection locked="0"/>
    </xf>
    <xf numFmtId="0" fontId="11" fillId="7" borderId="6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14" fontId="0" fillId="0" borderId="24" xfId="0" applyNumberFormat="1" applyBorder="1" applyAlignment="1">
      <alignment horizontal="left" vertical="center"/>
    </xf>
    <xf numFmtId="6" fontId="0" fillId="0" borderId="33" xfId="0" applyNumberFormat="1" applyBorder="1" applyAlignment="1">
      <alignment horizontal="left" vertical="center"/>
    </xf>
    <xf numFmtId="0" fontId="0" fillId="8" borderId="25" xfId="0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8" borderId="14" xfId="0" applyFill="1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8" borderId="1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2" xfId="0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 applyProtection="1">
      <alignment horizontal="center" vertical="center"/>
      <protection locked="0"/>
    </xf>
    <xf numFmtId="0" fontId="0" fillId="8" borderId="24" xfId="0" applyFill="1" applyBorder="1" applyAlignment="1">
      <alignment horizontal="center" vertical="center"/>
    </xf>
    <xf numFmtId="0" fontId="0" fillId="8" borderId="24" xfId="0" applyFill="1" applyBorder="1" applyAlignment="1" applyProtection="1">
      <alignment horizontal="center" vertical="center"/>
      <protection locked="0"/>
    </xf>
    <xf numFmtId="14" fontId="0" fillId="0" borderId="36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1.xml" Type="http://schemas.openxmlformats.org/officeDocument/2006/relationships/customXml"/><Relationship Id="rId11" Target="../customXml/item2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527050</xdr:colOff>
          <xdr:row>12</xdr:row>
          <xdr:rowOff>76200</xdr:rowOff>
        </xdr:from>
        <xdr:to>
          <xdr:col>2</xdr:col>
          <xdr:colOff>971550</xdr:colOff>
          <xdr:row>12</xdr:row>
          <xdr:rowOff>298450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1708150</xdr:colOff>
          <xdr:row>12</xdr:row>
          <xdr:rowOff>69850</xdr:rowOff>
        </xdr:from>
        <xdr:to>
          <xdr:col>2</xdr:col>
          <xdr:colOff>2063750</xdr:colOff>
          <xdr:row>12</xdr:row>
          <xdr:rowOff>292100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1511300</xdr:colOff>
      <xdr:row>3</xdr:row>
      <xdr:rowOff>90170</xdr:rowOff>
    </xdr:to>
    <xdr:pic>
      <xdr:nvPicPr>
        <xdr:cNvPr id="3" name="Picture 2" descr="A blue text on a white background  Description automatically generated with low confidenc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300" cy="661670"/>
        </a:xfrm>
        <a:prstGeom prst="rect">
          <a:avLst/>
        </a:prstGeom>
      </xdr:spPr>
    </xdr:pic>
    <xdr:clientData/>
  </xdr:twoCellAnchor>
  <xdr:twoCellAnchor editAs="oneCell">
    <xdr:from>
      <xdr:col>2</xdr:col>
      <xdr:colOff>1631950</xdr:colOff>
      <xdr:row>0</xdr:row>
      <xdr:rowOff>0</xdr:rowOff>
    </xdr:from>
    <xdr:to>
      <xdr:col>4</xdr:col>
      <xdr:colOff>13970</xdr:colOff>
      <xdr:row>3</xdr:row>
      <xdr:rowOff>108585</xdr:rowOff>
    </xdr:to>
    <xdr:pic>
      <xdr:nvPicPr>
        <xdr:cNvPr id="4" name="Picture 3" descr="A blue text on a white background  Description automatically generated with low confidenc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7100" y="0"/>
          <a:ext cx="1487170" cy="680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57150</xdr:colOff>
      <xdr:row>24</xdr:row>
      <xdr:rowOff>104775</xdr:rowOff>
    </xdr:from>
    <xdr:to>
      <xdr:col>52</xdr:col>
      <xdr:colOff>180975</xdr:colOff>
      <xdr:row>40</xdr:row>
      <xdr:rowOff>38100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2715875" y="4305300"/>
          <a:ext cx="619125" cy="3038475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Relationship Id="rId5" Target="../ctrlProps/ctrlProp2.xml" Type="http://schemas.openxmlformats.org/officeDocument/2006/relationships/ctrlProp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28"/>
  <sheetViews>
    <sheetView showGridLines="0" tabSelected="1" zoomScaleNormal="100" workbookViewId="0">
      <selection activeCell="A11" sqref="A11:D12"/>
    </sheetView>
  </sheetViews>
  <sheetFormatPr defaultColWidth="8.86328125" defaultRowHeight="14.75" x14ac:dyDescent="0.75"/>
  <cols>
    <col min="1" max="1" customWidth="true" style="15" width="33.26953125"/>
    <col min="2" max="2" customWidth="true" style="15" width="11.1328125"/>
    <col min="3" max="3" customWidth="true" style="15" width="33.26953125"/>
    <col min="4" max="4" customWidth="true" style="15" width="11.1328125"/>
    <col min="5" max="16384" style="15" width="8.86328125"/>
  </cols>
  <sheetData>
    <row r="4" spans="1:5" ht="18" customHeight="1" x14ac:dyDescent="0.75">
      <c r="A4" s="79" t="s">
        <v>0</v>
      </c>
      <c r="B4" s="79"/>
      <c r="C4" s="79"/>
      <c r="D4" s="79"/>
    </row>
    <row r="5" spans="1:5" x14ac:dyDescent="0.75">
      <c r="A5" s="79"/>
      <c r="B5" s="79"/>
      <c r="C5" s="79"/>
      <c r="D5" s="79"/>
    </row>
    <row r="6" spans="1:5" x14ac:dyDescent="0.75">
      <c r="A6" s="80" t="s">
        <v>1</v>
      </c>
      <c r="B6" s="80"/>
      <c r="C6" s="55" t="s">
        <v>2</v>
      </c>
      <c r="D6" s="54"/>
      <c r="E6" s="53"/>
    </row>
    <row r="7" spans="1:5" x14ac:dyDescent="0.75">
      <c r="A7" s="311"/>
      <c r="B7" s="312"/>
      <c r="C7" s="57" t="s">
        <v>3</v>
      </c>
      <c r="D7" s="58"/>
      <c r="E7" s="53"/>
    </row>
    <row r="8" spans="1:5" x14ac:dyDescent="0.75">
      <c r="A8" s="311"/>
      <c r="B8" s="312"/>
      <c r="C8" s="57" t="s">
        <v>4</v>
      </c>
      <c r="D8" s="58"/>
      <c r="E8" s="53"/>
    </row>
    <row r="9" spans="1:5" ht="27.25" customHeight="1" x14ac:dyDescent="0.75">
      <c r="A9" s="313"/>
      <c r="B9" s="314"/>
      <c r="C9" s="56" t="s">
        <v>5</v>
      </c>
      <c r="D9" s="316"/>
      <c r="E9" s="53"/>
    </row>
    <row r="10" spans="1:5" x14ac:dyDescent="0.75">
      <c r="A10" s="76" t="s">
        <v>6</v>
      </c>
      <c r="B10" s="76"/>
      <c r="C10" s="76"/>
      <c r="D10" s="76"/>
      <c r="E10" s="53"/>
    </row>
    <row r="11" spans="1:5" x14ac:dyDescent="0.75">
      <c r="A11" s="315"/>
      <c r="B11" s="71"/>
      <c r="C11" s="71"/>
      <c r="D11" s="72"/>
      <c r="E11" s="53"/>
    </row>
    <row r="12" spans="1:5" ht="81.25" customHeight="1" x14ac:dyDescent="0.75">
      <c r="A12" s="69"/>
      <c r="B12" s="73"/>
      <c r="C12" s="73"/>
      <c r="D12" s="70"/>
      <c r="E12" s="53"/>
    </row>
    <row r="13" spans="1:5" ht="28.9" customHeight="1" x14ac:dyDescent="0.75">
      <c r="A13" s="59" t="s">
        <v>7</v>
      </c>
      <c r="B13" s="81" t="s">
        <v>8</v>
      </c>
      <c r="C13" s="81"/>
      <c r="D13" s="81"/>
      <c r="E13" s="53"/>
    </row>
    <row r="14" spans="1:5" ht="14.45" customHeight="1" x14ac:dyDescent="0.75">
      <c r="A14" s="68" t="s">
        <v>9</v>
      </c>
      <c r="B14" s="82"/>
      <c r="C14" s="82"/>
      <c r="D14" s="82"/>
      <c r="E14" s="53"/>
    </row>
    <row r="15" spans="1:5" ht="14.45" customHeight="1" x14ac:dyDescent="0.75">
      <c r="A15" s="76"/>
      <c r="B15" s="83"/>
      <c r="C15" s="83"/>
      <c r="D15" s="83"/>
      <c r="E15" s="53"/>
    </row>
    <row r="16" spans="1:5" ht="28.9" customHeight="1" x14ac:dyDescent="0.75">
      <c r="A16" s="57" t="s">
        <v>10</v>
      </c>
      <c r="B16" s="317"/>
      <c r="C16" s="74"/>
      <c r="D16" s="74"/>
      <c r="E16" s="53"/>
    </row>
    <row r="17" spans="1:5" ht="28.9" customHeight="1" x14ac:dyDescent="0.75">
      <c r="A17" s="56" t="s">
        <v>11</v>
      </c>
      <c r="B17" s="75"/>
      <c r="C17" s="75"/>
      <c r="D17" s="75"/>
      <c r="E17" s="53"/>
    </row>
    <row r="18" spans="1:5" x14ac:dyDescent="0.75">
      <c r="A18" s="76" t="s">
        <v>12</v>
      </c>
      <c r="B18" s="76"/>
      <c r="C18" s="76"/>
      <c r="D18" s="76"/>
      <c r="E18" s="53"/>
    </row>
    <row r="19" spans="1:5" x14ac:dyDescent="0.75">
      <c r="A19" s="77"/>
      <c r="B19" s="77"/>
      <c r="C19" s="77"/>
      <c r="D19" s="77"/>
      <c r="E19" s="53"/>
    </row>
    <row r="20" spans="1:5" x14ac:dyDescent="0.75">
      <c r="A20" s="66"/>
      <c r="B20" s="66"/>
      <c r="C20" s="66"/>
      <c r="D20" s="66"/>
      <c r="E20" s="53"/>
    </row>
    <row r="21" spans="1:5" x14ac:dyDescent="0.75">
      <c r="A21" s="55" t="s">
        <v>13</v>
      </c>
      <c r="B21" s="60"/>
      <c r="C21" s="59" t="s">
        <v>14</v>
      </c>
      <c r="D21" s="52"/>
      <c r="E21" s="53"/>
    </row>
    <row r="22" spans="1:5" x14ac:dyDescent="0.75">
      <c r="A22" s="67" t="s">
        <v>15</v>
      </c>
      <c r="B22" s="67"/>
      <c r="C22" s="68" t="s">
        <v>16</v>
      </c>
      <c r="D22" s="78"/>
      <c r="E22" s="53"/>
    </row>
    <row r="23" spans="1:5" x14ac:dyDescent="0.75">
      <c r="A23" s="66"/>
      <c r="B23" s="66"/>
      <c r="C23" s="66"/>
      <c r="D23" s="66"/>
      <c r="E23" s="53"/>
    </row>
    <row r="24" spans="1:5" x14ac:dyDescent="0.75">
      <c r="A24" s="66"/>
      <c r="B24" s="66"/>
      <c r="C24" s="66"/>
      <c r="D24" s="66"/>
      <c r="E24" s="53"/>
    </row>
    <row r="25" spans="1:5" x14ac:dyDescent="0.75">
      <c r="A25" s="59" t="s">
        <v>17</v>
      </c>
      <c r="B25" s="54"/>
      <c r="C25" s="55" t="s">
        <v>14</v>
      </c>
      <c r="D25" s="60"/>
      <c r="E25" s="53"/>
    </row>
    <row r="26" spans="1:5" x14ac:dyDescent="0.75">
      <c r="A26" s="68" t="s">
        <v>18</v>
      </c>
      <c r="B26" s="68"/>
      <c r="C26" s="67" t="s">
        <v>19</v>
      </c>
      <c r="D26" s="67"/>
      <c r="E26" s="53"/>
    </row>
    <row r="27" spans="1:5" x14ac:dyDescent="0.75">
      <c r="A27" s="66"/>
      <c r="B27" s="66"/>
      <c r="C27" s="66"/>
      <c r="D27" s="66"/>
      <c r="E27" s="53"/>
    </row>
    <row r="28" spans="1:5" x14ac:dyDescent="0.75">
      <c r="A28" s="66"/>
      <c r="B28" s="66"/>
      <c r="C28" s="66"/>
      <c r="D28" s="66"/>
      <c r="E28" s="53"/>
    </row>
  </sheetData>
  <mergeCells count="20">
    <mergeCell ref="A4:D5"/>
    <mergeCell ref="A6:B6"/>
    <mergeCell ref="A10:D10"/>
    <mergeCell ref="B13:D13"/>
    <mergeCell ref="B14:D15"/>
    <mergeCell ref="A14:A15"/>
    <mergeCell ref="A27:B28"/>
    <mergeCell ref="C27:D28"/>
    <mergeCell ref="C26:D26"/>
    <mergeCell ref="A26:B26"/>
    <mergeCell ref="A7:B9"/>
    <mergeCell ref="A11:D12"/>
    <mergeCell ref="B16:D16"/>
    <mergeCell ref="B17:D17"/>
    <mergeCell ref="A18:D18"/>
    <mergeCell ref="A19:D20"/>
    <mergeCell ref="A23:B24"/>
    <mergeCell ref="C23:D24"/>
    <mergeCell ref="A22:B22"/>
    <mergeCell ref="C22:D22"/>
  </mergeCells>
  <pageMargins left="0.7" right="0.7" top="0.75" bottom="0.75" header="0.3" footer="0.3"/>
  <pageSetup orientation="portrait" r:id="rId1"/>
  <headerFooter>
    <oddFooter>&amp;LThis document is uncontrolled when not viewed on the Company's Activ system
Version 4 - 10/05/2024 13:38</oddFooter>
  </headerFooter>
  <drawing r:id="rId2"/>
  <legacyDrawing r:id="rId3"/>
  <mc:AlternateContent>
    <mc:Choice Requires="x14">
      <controls>
        <mc:AlternateContent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2</xdr:col>
                    <xdr:colOff>527050</xdr:colOff>
                    <xdr:row>12</xdr:row>
                    <xdr:rowOff>76200</xdr:rowOff>
                  </from>
                  <to>
                    <xdr:col>2</xdr:col>
                    <xdr:colOff>968375</xdr:colOff>
                    <xdr:row>12</xdr:row>
                    <xdr:rowOff>298450</xdr:rowOff>
                  </to>
                </anchor>
              </controlPr>
            </control>
          </mc:Choice>
        </mc:AlternateContent>
        <mc:AlternateContent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2</xdr:col>
                    <xdr:colOff>1708150</xdr:colOff>
                    <xdr:row>12</xdr:row>
                    <xdr:rowOff>69850</xdr:rowOff>
                  </from>
                  <to>
                    <xdr:col>2</xdr:col>
                    <xdr:colOff>2063750</xdr:colOff>
                    <xdr:row>12</xdr:row>
                    <xdr:rowOff>288925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28"/>
  <sheetViews>
    <sheetView showGridLines="0" zoomScale="70" zoomScaleNormal="70" workbookViewId="0">
      <selection activeCell="AJ13" sqref="AJ13"/>
    </sheetView>
  </sheetViews>
  <sheetFormatPr defaultColWidth="9.1328125" defaultRowHeight="14.75" x14ac:dyDescent="0.75"/>
  <cols>
    <col min="1" max="1" customWidth="true" style="5" width="5.0"/>
    <col min="2" max="2" customWidth="true" style="5" width="30.40625"/>
    <col min="3" max="3" customWidth="true" style="5" width="11.86328125"/>
    <col min="4" max="4" style="5" width="9.1328125"/>
    <col min="5" max="5" customWidth="true" style="5" width="12.26953125"/>
    <col min="6" max="6" bestFit="true" customWidth="true" style="5" width="14.5"/>
    <col min="7" max="7" customWidth="true" style="5" width="10.0"/>
    <col min="8" max="8" customWidth="true" style="5" width="16.7265625"/>
    <col min="9" max="9" customWidth="true" style="5" width="22.1328125"/>
    <col min="10" max="10" customWidth="true" style="5" width="11.86328125"/>
    <col min="11" max="13" customWidth="true" style="5" width="8.40625"/>
    <col min="14" max="14" customWidth="true" style="5" width="6.40625"/>
    <col min="15" max="15" customWidth="true" style="5" width="5.1328125"/>
    <col min="16" max="18" customWidth="true" style="5" width="4.54296875"/>
    <col min="19" max="19" customWidth="true" style="5" width="3.26953125"/>
    <col min="20" max="20" customWidth="true" style="5" width="4.0"/>
    <col min="21" max="21" customWidth="true" style="5" width="3.86328125"/>
    <col min="22" max="22" customWidth="true" style="5" width="11.7265625"/>
    <col min="23" max="25" style="5" width="9.1328125"/>
    <col min="26" max="26" customWidth="true" style="5" width="2.04296875"/>
    <col min="27" max="27" bestFit="true" customWidth="true" style="5" width="14.5"/>
    <col min="28" max="32" style="5" width="9.1328125"/>
    <col min="33" max="35" customWidth="true" style="5" width="3.6796875"/>
    <col min="36" max="16384" style="5" width="9.1328125"/>
  </cols>
  <sheetData>
    <row r="1" spans="1:39" ht="18" customHeight="1" x14ac:dyDescent="0.75">
      <c r="A1" s="104" t="s">
        <v>20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39" ht="18" customHeight="1" thickBot="1" x14ac:dyDescent="0.9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</row>
    <row r="3" spans="1:39" ht="18" customHeight="1" x14ac:dyDescent="0.75">
      <c r="A3" s="111" t="s">
        <v>21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AA3" s="323" t="s">
        <v>238</v>
      </c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5"/>
    </row>
    <row r="4" spans="1:39" x14ac:dyDescent="0.75">
      <c r="A4" s="105" t="s">
        <v>22</v>
      </c>
      <c r="B4" s="105" t="s">
        <v>23</v>
      </c>
      <c r="C4" s="105" t="s">
        <v>24</v>
      </c>
      <c r="D4" s="105" t="s">
        <v>25</v>
      </c>
      <c r="E4" s="105" t="s">
        <v>26</v>
      </c>
      <c r="F4" s="113" t="s">
        <v>27</v>
      </c>
      <c r="G4" s="113"/>
      <c r="H4" s="105" t="s">
        <v>28</v>
      </c>
      <c r="I4" s="113" t="s">
        <v>29</v>
      </c>
      <c r="J4" s="113" t="s">
        <v>30</v>
      </c>
      <c r="K4" s="113"/>
      <c r="L4" s="105" t="s">
        <v>31</v>
      </c>
      <c r="M4" s="105"/>
      <c r="N4" s="112" t="s">
        <v>32</v>
      </c>
      <c r="O4" s="112"/>
      <c r="P4" s="112"/>
      <c r="Q4" s="112"/>
      <c r="R4" s="112"/>
      <c r="S4" s="105" t="s">
        <v>33</v>
      </c>
      <c r="T4" s="105"/>
      <c r="U4" s="105"/>
      <c r="V4" s="105"/>
      <c r="W4" s="105"/>
      <c r="X4" s="105" t="s">
        <v>34</v>
      </c>
      <c r="Y4" s="105"/>
      <c r="AA4" s="113" t="s">
        <v>27</v>
      </c>
      <c r="AB4" s="113"/>
      <c r="AC4" s="113" t="s">
        <v>30</v>
      </c>
      <c r="AD4" s="113"/>
      <c r="AE4" s="105" t="s">
        <v>31</v>
      </c>
      <c r="AF4" s="105"/>
      <c r="AG4" s="105" t="s">
        <v>33</v>
      </c>
      <c r="AH4" s="105"/>
      <c r="AI4" s="105"/>
      <c r="AJ4" s="105"/>
      <c r="AK4" s="105"/>
      <c r="AL4" s="105" t="s">
        <v>34</v>
      </c>
      <c r="AM4" s="105"/>
    </row>
    <row r="5" spans="1:39" ht="69" customHeight="1" x14ac:dyDescent="0.75">
      <c r="A5" s="105"/>
      <c r="B5" s="105"/>
      <c r="C5" s="105"/>
      <c r="D5" s="105"/>
      <c r="E5" s="105"/>
      <c r="F5" s="118"/>
      <c r="G5" s="118"/>
      <c r="H5" s="105"/>
      <c r="I5" s="113"/>
      <c r="J5" s="119"/>
      <c r="K5" s="119"/>
      <c r="L5" s="112"/>
      <c r="M5" s="112"/>
      <c r="N5" s="114"/>
      <c r="O5" s="114"/>
      <c r="P5" s="114"/>
      <c r="Q5" s="114"/>
      <c r="R5" s="114"/>
      <c r="S5" s="112"/>
      <c r="T5" s="112"/>
      <c r="U5" s="112"/>
      <c r="V5" s="112"/>
      <c r="W5" s="112"/>
      <c r="X5" s="112"/>
      <c r="Y5" s="112"/>
      <c r="AA5" s="118"/>
      <c r="AB5" s="118"/>
      <c r="AC5" s="119"/>
      <c r="AD5" s="119"/>
      <c r="AE5" s="112"/>
      <c r="AF5" s="112"/>
      <c r="AG5" s="112"/>
      <c r="AH5" s="112"/>
      <c r="AI5" s="112"/>
      <c r="AJ5" s="112"/>
      <c r="AK5" s="112"/>
      <c r="AL5" s="112"/>
      <c r="AM5" s="112"/>
    </row>
    <row r="6" spans="1:39" ht="37.5" customHeight="1" x14ac:dyDescent="0.75">
      <c r="A6" s="105"/>
      <c r="B6" s="105"/>
      <c r="C6" s="105"/>
      <c r="D6" s="105"/>
      <c r="E6" s="105"/>
      <c r="F6" s="10" t="s">
        <v>35</v>
      </c>
      <c r="G6" s="10" t="s">
        <v>36</v>
      </c>
      <c r="H6" s="105"/>
      <c r="I6" s="113"/>
      <c r="J6" s="11" t="s">
        <v>37</v>
      </c>
      <c r="K6" s="9" t="s">
        <v>36</v>
      </c>
      <c r="L6" s="10" t="s">
        <v>38</v>
      </c>
      <c r="M6" s="12" t="s">
        <v>36</v>
      </c>
      <c r="N6" s="115"/>
      <c r="O6" s="115"/>
      <c r="P6" s="115"/>
      <c r="Q6" s="115"/>
      <c r="R6" s="115"/>
      <c r="S6" s="13" t="s">
        <v>39</v>
      </c>
      <c r="T6" s="13" t="s">
        <v>40</v>
      </c>
      <c r="U6" s="10" t="s">
        <v>41</v>
      </c>
      <c r="V6" s="10" t="s">
        <v>42</v>
      </c>
      <c r="W6" s="10" t="s">
        <v>36</v>
      </c>
      <c r="X6" s="10" t="s">
        <v>36</v>
      </c>
      <c r="Y6" s="10" t="s">
        <v>43</v>
      </c>
      <c r="AA6" s="10" t="s">
        <v>35</v>
      </c>
      <c r="AB6" s="10" t="s">
        <v>36</v>
      </c>
      <c r="AC6" s="11" t="s">
        <v>37</v>
      </c>
      <c r="AD6" s="9" t="s">
        <v>36</v>
      </c>
      <c r="AE6" s="10" t="s">
        <v>38</v>
      </c>
      <c r="AF6" s="12" t="s">
        <v>36</v>
      </c>
      <c r="AG6" s="13" t="s">
        <v>39</v>
      </c>
      <c r="AH6" s="13" t="s">
        <v>40</v>
      </c>
      <c r="AI6" s="10" t="s">
        <v>41</v>
      </c>
      <c r="AJ6" s="10" t="s">
        <v>42</v>
      </c>
      <c r="AK6" s="10" t="s">
        <v>36</v>
      </c>
      <c r="AL6" s="10" t="s">
        <v>36</v>
      </c>
      <c r="AM6" s="10" t="s">
        <v>43</v>
      </c>
    </row>
    <row r="7" spans="1:39" x14ac:dyDescent="0.75">
      <c r="A7" s="47"/>
      <c r="B7" s="45" t="s">
        <v>44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AA7" s="318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</row>
    <row r="8" spans="1:39" ht="15" customHeight="1" x14ac:dyDescent="0.75">
      <c r="A8" s="61"/>
      <c r="B8" s="14"/>
      <c r="C8" s="14"/>
      <c r="D8" s="14"/>
      <c r="E8" s="14"/>
      <c r="F8" s="14"/>
      <c r="G8" s="48" t="str">
        <f>IF(F8="","",IF(F8="&gt;1/month",3,IF(F8="&lt;1/year",1,2)))</f>
        <v/>
      </c>
      <c r="H8" s="14"/>
      <c r="I8" s="14"/>
      <c r="J8" s="14"/>
      <c r="K8" s="48" t="str">
        <f>IF(J8="","",IF(J8="&gt;20%",3,IF(J8="&lt;1%",1,2)))</f>
        <v/>
      </c>
      <c r="L8" s="48" t="str">
        <f>IF(M8="","",IF(M8=1,"V Low",IF(M8=2,"Low",IF(M8=3,"Medium",IF(M8=6,"V High","High")))))</f>
        <v/>
      </c>
      <c r="M8" s="48" t="str">
        <f>IF(SUM(K8,G8)&gt;0,SUM(K8,G8),"")</f>
        <v/>
      </c>
      <c r="N8" s="14"/>
      <c r="O8" s="14"/>
      <c r="P8" s="14"/>
      <c r="Q8" s="14"/>
      <c r="R8" s="14"/>
      <c r="S8" s="14"/>
      <c r="T8" s="14"/>
      <c r="U8" s="14"/>
      <c r="V8" s="14"/>
      <c r="W8" s="48" t="str">
        <f>IF(V8="","",IF(V8="Major",5,IF(V8="High",4,IF(V8="Moderate",3,IF(V8="Minor",2,1)))))</f>
        <v/>
      </c>
      <c r="X8" s="50" t="str">
        <f>IF(PRODUCT(M8,W8)&gt;0,PRODUCT(M8,W8),"")</f>
        <v/>
      </c>
      <c r="Y8" s="48" t="str">
        <f>IF(X8="","",IF(X8&lt;5,"Low",IF(X8&gt;15,"High","Medium")))</f>
        <v/>
      </c>
      <c r="AA8" s="61"/>
      <c r="AB8" s="48" t="str">
        <f>IF(AA8="","",IF(AA8="&gt;1/month",3,IF(AA8="&lt;1/year",1,2)))</f>
        <v/>
      </c>
      <c r="AC8" s="14"/>
      <c r="AD8" s="48" t="str">
        <f>IF(AC8="","",IF(AC8="&gt;20%",3,IF(AC8="&lt;1%",1,2)))</f>
        <v/>
      </c>
      <c r="AE8" s="48" t="str">
        <f>IF(AF8="","",IF(AF8=1,"V Low",IF(AF8=2,"Low",IF(AF8=3,"Medium",IF(AF8=6,"V High","High")))))</f>
        <v/>
      </c>
      <c r="AF8" s="48" t="str">
        <f>IF(SUM(AD8,AB8)&gt;0,SUM(AD8,AB8),"")</f>
        <v/>
      </c>
      <c r="AG8" s="14"/>
      <c r="AH8" s="14"/>
      <c r="AI8" s="14"/>
      <c r="AJ8" s="14"/>
      <c r="AK8" s="48" t="str">
        <f>IF(AJ8="","",IF(AJ8="Major",5,IF(AJ8="High",4,IF(AJ8="Moderate",3,IF(AJ8="Minor",2,1)))))</f>
        <v/>
      </c>
      <c r="AL8" s="50" t="str">
        <f>IF(PRODUCT(AF8,AK8)&gt;0,PRODUCT(AF8,AK8),"")</f>
        <v/>
      </c>
      <c r="AM8" s="48" t="str">
        <f>IF(AL8="","",IF(AL8&lt;5,"Low",IF(AL8&gt;15,"High","Medium")))</f>
        <v/>
      </c>
    </row>
    <row r="9" spans="1:39" x14ac:dyDescent="0.75">
      <c r="A9" s="61"/>
      <c r="B9" s="14"/>
      <c r="C9" s="14"/>
      <c r="D9" s="14"/>
      <c r="E9" s="14"/>
      <c r="F9" s="14"/>
      <c r="G9" s="48" t="str">
        <f t="shared" ref="G9:G17" si="0">IF(F9="","",IF(F9="&gt;1/month",3,IF(F9="&lt;1/year",1,2)))</f>
        <v/>
      </c>
      <c r="H9" s="14"/>
      <c r="I9" s="14"/>
      <c r="J9" s="14"/>
      <c r="K9" s="48" t="str">
        <f t="shared" ref="K9:K17" si="1">IF(J9="","",IF(J9="&gt;20%",3,IF(J9="&lt;1%",1,2)))</f>
        <v/>
      </c>
      <c r="L9" s="48" t="str">
        <f>IF(M9="","",IF(M9=1,"V Low",IF(M9=2,"Low",IF(M9=3,"Medium",IF(M9=6,"V High","High")))))</f>
        <v/>
      </c>
      <c r="M9" s="48" t="str">
        <f>IF(SUM(K9,G9)&gt;0,SUM(K9,G9),"")</f>
        <v/>
      </c>
      <c r="N9" s="14"/>
      <c r="O9" s="14"/>
      <c r="P9" s="14"/>
      <c r="Q9" s="14"/>
      <c r="R9" s="14"/>
      <c r="S9" s="14"/>
      <c r="T9" s="14"/>
      <c r="U9" s="14"/>
      <c r="V9" s="14"/>
      <c r="W9" s="48" t="str">
        <f t="shared" ref="W9:W17" si="2">IF(V9="","",IF(V9="Major",5,IF(V9="High",4,IF(V9="Moderate",3,IF(V9="Minor",2,1)))))</f>
        <v/>
      </c>
      <c r="X9" s="50" t="str">
        <f t="shared" ref="X9:X17" si="3">IF(PRODUCT(M9,W9)&gt;0,PRODUCT(M9,W9),"")</f>
        <v/>
      </c>
      <c r="Y9" s="48" t="str">
        <f t="shared" ref="Y9:Y17" si="4">IF(X9="","",IF(X9&lt;5,"Low",IF(X9&gt;15,"High","Medium")))</f>
        <v/>
      </c>
      <c r="AA9" s="61"/>
      <c r="AB9" s="48" t="str">
        <f t="shared" ref="AB9:AB17" si="5">IF(AA9="","",IF(AA9="&gt;1/month",3,IF(AA9="&lt;1/year",1,2)))</f>
        <v/>
      </c>
      <c r="AC9" s="14"/>
      <c r="AD9" s="48" t="str">
        <f t="shared" ref="AD9:AD17" si="6">IF(AC9="","",IF(AC9="&gt;20%",3,IF(AC9="&lt;1%",1,2)))</f>
        <v/>
      </c>
      <c r="AE9" s="48" t="str">
        <f>IF(AF9="","",IF(AF9=1,"V Low",IF(AF9=2,"Low",IF(AF9=3,"Medium",IF(AF9=6,"V High","High")))))</f>
        <v/>
      </c>
      <c r="AF9" s="48" t="str">
        <f t="shared" ref="AF9:AF17" si="7">IF(SUM(AD9,AB9)&gt;0,SUM(AD9,AB9),"")</f>
        <v/>
      </c>
      <c r="AG9" s="14"/>
      <c r="AH9" s="14"/>
      <c r="AI9" s="14"/>
      <c r="AJ9" s="14"/>
      <c r="AK9" s="48" t="str">
        <f t="shared" ref="AK9:AK17" si="8">IF(AJ9="","",IF(AJ9="Major",5,IF(AJ9="High",4,IF(AJ9="Moderate",3,IF(AJ9="Minor",2,1)))))</f>
        <v/>
      </c>
      <c r="AL9" s="50" t="str">
        <f t="shared" ref="AL9:AL17" si="9">IF(PRODUCT(AF9,AK9)&gt;0,PRODUCT(AF9,AK9),"")</f>
        <v/>
      </c>
      <c r="AM9" s="48" t="str">
        <f t="shared" ref="AM9:AM17" si="10">IF(AL9="","",IF(AL9&lt;5,"Low",IF(AL9&gt;15,"High","Medium")))</f>
        <v/>
      </c>
    </row>
    <row r="10" spans="1:39" x14ac:dyDescent="0.75">
      <c r="A10" s="61"/>
      <c r="B10" s="14"/>
      <c r="C10" s="14"/>
      <c r="D10" s="14"/>
      <c r="E10" s="14"/>
      <c r="F10" s="14"/>
      <c r="G10" s="48" t="str">
        <f t="shared" si="0"/>
        <v/>
      </c>
      <c r="H10" s="14"/>
      <c r="I10" s="14"/>
      <c r="J10" s="14"/>
      <c r="K10" s="48" t="str">
        <f t="shared" si="1"/>
        <v/>
      </c>
      <c r="L10" s="48" t="str">
        <f t="shared" ref="L10:L17" si="11">IF(M10="","",IF(M10=1,"V Low",IF(M10=2,"Low",IF(M10=3,"Medium",IF(M10=6,"V High","High")))))</f>
        <v/>
      </c>
      <c r="M10" s="48" t="str">
        <f t="shared" ref="M10:M17" si="12">IF(SUM(K10,G10)&gt;0,SUM(K10,G10),"")</f>
        <v/>
      </c>
      <c r="N10" s="14"/>
      <c r="O10" s="14"/>
      <c r="P10" s="14"/>
      <c r="Q10" s="14"/>
      <c r="R10" s="14"/>
      <c r="S10" s="14"/>
      <c r="T10" s="14"/>
      <c r="U10" s="14"/>
      <c r="V10" s="14"/>
      <c r="W10" s="48" t="str">
        <f t="shared" si="2"/>
        <v/>
      </c>
      <c r="X10" s="50" t="str">
        <f t="shared" si="3"/>
        <v/>
      </c>
      <c r="Y10" s="48" t="str">
        <f t="shared" si="4"/>
        <v/>
      </c>
      <c r="AA10" s="61"/>
      <c r="AB10" s="48" t="str">
        <f t="shared" si="5"/>
        <v/>
      </c>
      <c r="AC10" s="14"/>
      <c r="AD10" s="48" t="str">
        <f t="shared" si="6"/>
        <v/>
      </c>
      <c r="AE10" s="48" t="str">
        <f t="shared" ref="AE10:AE17" si="13">IF(AF10="","",IF(AF10=1,"V Low",IF(AF10=2,"Low",IF(AF10=3,"Medium",IF(AF10=6,"V High","High")))))</f>
        <v/>
      </c>
      <c r="AF10" s="48" t="str">
        <f t="shared" si="7"/>
        <v/>
      </c>
      <c r="AG10" s="14"/>
      <c r="AH10" s="14"/>
      <c r="AI10" s="14"/>
      <c r="AJ10" s="14"/>
      <c r="AK10" s="48" t="str">
        <f t="shared" si="8"/>
        <v/>
      </c>
      <c r="AL10" s="50" t="str">
        <f t="shared" si="9"/>
        <v/>
      </c>
      <c r="AM10" s="48" t="str">
        <f t="shared" si="10"/>
        <v/>
      </c>
    </row>
    <row r="11" spans="1:39" x14ac:dyDescent="0.75">
      <c r="A11" s="61"/>
      <c r="B11" s="14"/>
      <c r="C11" s="14"/>
      <c r="D11" s="14"/>
      <c r="E11" s="14"/>
      <c r="F11" s="14"/>
      <c r="G11" s="48"/>
      <c r="H11" s="14"/>
      <c r="I11" s="14"/>
      <c r="J11" s="14"/>
      <c r="K11" s="48" t="str">
        <f t="shared" si="1"/>
        <v/>
      </c>
      <c r="L11" s="48" t="str">
        <f t="shared" si="11"/>
        <v/>
      </c>
      <c r="M11" s="48" t="str">
        <f t="shared" si="12"/>
        <v/>
      </c>
      <c r="N11" s="14"/>
      <c r="O11" s="14"/>
      <c r="P11" s="14"/>
      <c r="Q11" s="14"/>
      <c r="R11" s="14"/>
      <c r="S11" s="14"/>
      <c r="T11" s="14"/>
      <c r="U11" s="14"/>
      <c r="V11" s="14"/>
      <c r="W11" s="48" t="str">
        <f t="shared" si="2"/>
        <v/>
      </c>
      <c r="X11" s="50" t="str">
        <f t="shared" si="3"/>
        <v/>
      </c>
      <c r="Y11" s="48" t="str">
        <f t="shared" si="4"/>
        <v/>
      </c>
      <c r="AA11" s="61"/>
      <c r="AB11" s="48" t="str">
        <f t="shared" si="5"/>
        <v/>
      </c>
      <c r="AC11" s="14"/>
      <c r="AD11" s="48" t="str">
        <f t="shared" si="6"/>
        <v/>
      </c>
      <c r="AE11" s="48" t="str">
        <f t="shared" si="13"/>
        <v/>
      </c>
      <c r="AF11" s="48" t="str">
        <f t="shared" si="7"/>
        <v/>
      </c>
      <c r="AG11" s="14"/>
      <c r="AH11" s="14"/>
      <c r="AI11" s="14"/>
      <c r="AJ11" s="14"/>
      <c r="AK11" s="48" t="str">
        <f t="shared" si="8"/>
        <v/>
      </c>
      <c r="AL11" s="50" t="str">
        <f t="shared" si="9"/>
        <v/>
      </c>
      <c r="AM11" s="48" t="str">
        <f t="shared" si="10"/>
        <v/>
      </c>
    </row>
    <row r="12" spans="1:39" x14ac:dyDescent="0.75">
      <c r="A12" s="61"/>
      <c r="B12" s="14"/>
      <c r="C12" s="14"/>
      <c r="D12" s="14"/>
      <c r="E12" s="14"/>
      <c r="F12" s="14"/>
      <c r="G12" s="48" t="str">
        <f t="shared" si="0"/>
        <v/>
      </c>
      <c r="H12" s="14"/>
      <c r="I12" s="14"/>
      <c r="J12" s="14"/>
      <c r="K12" s="48" t="str">
        <f t="shared" si="1"/>
        <v/>
      </c>
      <c r="L12" s="48" t="str">
        <f t="shared" si="11"/>
        <v/>
      </c>
      <c r="M12" s="48" t="str">
        <f t="shared" si="12"/>
        <v/>
      </c>
      <c r="N12" s="14"/>
      <c r="O12" s="14"/>
      <c r="P12" s="14"/>
      <c r="Q12" s="14"/>
      <c r="R12" s="14"/>
      <c r="S12" s="14"/>
      <c r="T12" s="14"/>
      <c r="U12" s="14"/>
      <c r="V12" s="14"/>
      <c r="W12" s="48" t="str">
        <f t="shared" si="2"/>
        <v/>
      </c>
      <c r="X12" s="50" t="str">
        <f t="shared" si="3"/>
        <v/>
      </c>
      <c r="Y12" s="48" t="str">
        <f t="shared" si="4"/>
        <v/>
      </c>
      <c r="AA12" s="61"/>
      <c r="AB12" s="48" t="str">
        <f t="shared" ref="AB12:AB17" si="14">IF(AA12="","",IF(AA12="&gt;1/month",3,IF(AA12="&lt;1/year",1,2)))</f>
        <v/>
      </c>
      <c r="AC12" s="14"/>
      <c r="AD12" s="48" t="str">
        <f t="shared" si="6"/>
        <v/>
      </c>
      <c r="AE12" s="48" t="str">
        <f t="shared" si="13"/>
        <v/>
      </c>
      <c r="AF12" s="48" t="str">
        <f t="shared" si="7"/>
        <v/>
      </c>
      <c r="AG12" s="14"/>
      <c r="AH12" s="14"/>
      <c r="AI12" s="14"/>
      <c r="AJ12" s="14"/>
      <c r="AK12" s="48" t="str">
        <f t="shared" si="8"/>
        <v/>
      </c>
      <c r="AL12" s="50" t="str">
        <f t="shared" si="9"/>
        <v/>
      </c>
      <c r="AM12" s="48" t="str">
        <f t="shared" si="10"/>
        <v/>
      </c>
    </row>
    <row r="13" spans="1:39" x14ac:dyDescent="0.75">
      <c r="A13" s="61"/>
      <c r="B13" s="14"/>
      <c r="C13" s="14"/>
      <c r="D13" s="14"/>
      <c r="E13" s="14"/>
      <c r="F13" s="14"/>
      <c r="G13" s="48" t="str">
        <f t="shared" si="0"/>
        <v/>
      </c>
      <c r="H13" s="14"/>
      <c r="I13" s="14"/>
      <c r="J13" s="14"/>
      <c r="K13" s="48" t="str">
        <f t="shared" si="1"/>
        <v/>
      </c>
      <c r="L13" s="48" t="str">
        <f t="shared" si="11"/>
        <v/>
      </c>
      <c r="M13" s="48" t="str">
        <f t="shared" si="12"/>
        <v/>
      </c>
      <c r="N13" s="14"/>
      <c r="O13" s="14"/>
      <c r="P13" s="14"/>
      <c r="Q13" s="14"/>
      <c r="R13" s="14"/>
      <c r="S13" s="14"/>
      <c r="T13" s="14"/>
      <c r="U13" s="14"/>
      <c r="V13" s="14"/>
      <c r="W13" s="48" t="str">
        <f t="shared" si="2"/>
        <v/>
      </c>
      <c r="X13" s="50" t="str">
        <f t="shared" si="3"/>
        <v/>
      </c>
      <c r="Y13" s="48" t="str">
        <f t="shared" si="4"/>
        <v/>
      </c>
      <c r="AA13" s="61"/>
      <c r="AB13" s="48" t="str">
        <f t="shared" si="14"/>
        <v/>
      </c>
      <c r="AC13" s="14"/>
      <c r="AD13" s="48" t="str">
        <f t="shared" si="6"/>
        <v/>
      </c>
      <c r="AE13" s="48" t="str">
        <f t="shared" si="13"/>
        <v/>
      </c>
      <c r="AF13" s="48" t="str">
        <f t="shared" si="7"/>
        <v/>
      </c>
      <c r="AG13" s="14"/>
      <c r="AH13" s="14"/>
      <c r="AI13" s="14"/>
      <c r="AJ13" s="14"/>
      <c r="AK13" s="48" t="str">
        <f t="shared" si="8"/>
        <v/>
      </c>
      <c r="AL13" s="50" t="str">
        <f t="shared" si="9"/>
        <v/>
      </c>
      <c r="AM13" s="48" t="str">
        <f t="shared" si="10"/>
        <v/>
      </c>
    </row>
    <row r="14" spans="1:39" x14ac:dyDescent="0.75">
      <c r="A14" s="61"/>
      <c r="B14" s="14"/>
      <c r="C14" s="14"/>
      <c r="D14" s="14"/>
      <c r="E14" s="14"/>
      <c r="F14" s="14"/>
      <c r="G14" s="48" t="str">
        <f t="shared" si="0"/>
        <v/>
      </c>
      <c r="H14" s="14"/>
      <c r="I14" s="14"/>
      <c r="J14" s="14"/>
      <c r="K14" s="48" t="str">
        <f t="shared" si="1"/>
        <v/>
      </c>
      <c r="L14" s="48" t="str">
        <f t="shared" si="11"/>
        <v/>
      </c>
      <c r="M14" s="48" t="str">
        <f t="shared" si="12"/>
        <v/>
      </c>
      <c r="N14" s="14"/>
      <c r="O14" s="14"/>
      <c r="P14" s="14"/>
      <c r="Q14" s="14"/>
      <c r="R14" s="14"/>
      <c r="S14" s="14"/>
      <c r="T14" s="14"/>
      <c r="U14" s="14"/>
      <c r="V14" s="14"/>
      <c r="W14" s="48" t="str">
        <f t="shared" si="2"/>
        <v/>
      </c>
      <c r="X14" s="50" t="str">
        <f t="shared" si="3"/>
        <v/>
      </c>
      <c r="Y14" s="48" t="str">
        <f t="shared" si="4"/>
        <v/>
      </c>
      <c r="AA14" s="61"/>
      <c r="AB14" s="48" t="str">
        <f t="shared" si="14"/>
        <v/>
      </c>
      <c r="AC14" s="14"/>
      <c r="AD14" s="48" t="str">
        <f t="shared" si="6"/>
        <v/>
      </c>
      <c r="AE14" s="48" t="str">
        <f t="shared" si="13"/>
        <v/>
      </c>
      <c r="AF14" s="48" t="str">
        <f t="shared" si="7"/>
        <v/>
      </c>
      <c r="AG14" s="14"/>
      <c r="AH14" s="14"/>
      <c r="AI14" s="14"/>
      <c r="AJ14" s="14"/>
      <c r="AK14" s="48" t="str">
        <f t="shared" si="8"/>
        <v/>
      </c>
      <c r="AL14" s="50" t="str">
        <f t="shared" si="9"/>
        <v/>
      </c>
      <c r="AM14" s="48" t="str">
        <f t="shared" si="10"/>
        <v/>
      </c>
    </row>
    <row r="15" spans="1:39" x14ac:dyDescent="0.75">
      <c r="A15" s="61"/>
      <c r="B15" s="14"/>
      <c r="C15" s="14"/>
      <c r="D15" s="14"/>
      <c r="E15" s="14"/>
      <c r="F15" s="14"/>
      <c r="G15" s="48" t="str">
        <f t="shared" si="0"/>
        <v/>
      </c>
      <c r="H15" s="14"/>
      <c r="I15" s="14"/>
      <c r="J15" s="14"/>
      <c r="K15" s="48" t="str">
        <f t="shared" si="1"/>
        <v/>
      </c>
      <c r="L15" s="48" t="str">
        <f t="shared" si="11"/>
        <v/>
      </c>
      <c r="M15" s="48" t="str">
        <f t="shared" si="12"/>
        <v/>
      </c>
      <c r="N15" s="14"/>
      <c r="O15" s="14"/>
      <c r="P15" s="14"/>
      <c r="Q15" s="14"/>
      <c r="R15" s="14"/>
      <c r="S15" s="14"/>
      <c r="T15" s="14"/>
      <c r="U15" s="14"/>
      <c r="V15" s="14"/>
      <c r="W15" s="48" t="str">
        <f t="shared" si="2"/>
        <v/>
      </c>
      <c r="X15" s="50" t="str">
        <f t="shared" si="3"/>
        <v/>
      </c>
      <c r="Y15" s="48" t="str">
        <f t="shared" si="4"/>
        <v/>
      </c>
      <c r="AA15" s="61"/>
      <c r="AB15" s="48" t="str">
        <f t="shared" si="14"/>
        <v/>
      </c>
      <c r="AC15" s="14"/>
      <c r="AD15" s="48" t="str">
        <f t="shared" si="6"/>
        <v/>
      </c>
      <c r="AE15" s="48" t="str">
        <f t="shared" si="13"/>
        <v/>
      </c>
      <c r="AF15" s="48" t="str">
        <f t="shared" si="7"/>
        <v/>
      </c>
      <c r="AG15" s="14"/>
      <c r="AH15" s="14"/>
      <c r="AI15" s="14"/>
      <c r="AJ15" s="14"/>
      <c r="AK15" s="48" t="str">
        <f t="shared" si="8"/>
        <v/>
      </c>
      <c r="AL15" s="50" t="str">
        <f t="shared" si="9"/>
        <v/>
      </c>
      <c r="AM15" s="48" t="str">
        <f t="shared" si="10"/>
        <v/>
      </c>
    </row>
    <row r="16" spans="1:39" x14ac:dyDescent="0.75">
      <c r="A16" s="61"/>
      <c r="B16" s="14"/>
      <c r="C16" s="14"/>
      <c r="D16" s="14"/>
      <c r="E16" s="14"/>
      <c r="F16" s="14"/>
      <c r="G16" s="48" t="str">
        <f t="shared" si="0"/>
        <v/>
      </c>
      <c r="H16" s="14"/>
      <c r="I16" s="14"/>
      <c r="J16" s="14"/>
      <c r="K16" s="48" t="str">
        <f t="shared" si="1"/>
        <v/>
      </c>
      <c r="L16" s="48" t="str">
        <f t="shared" si="11"/>
        <v/>
      </c>
      <c r="M16" s="48" t="str">
        <f t="shared" si="12"/>
        <v/>
      </c>
      <c r="N16" s="14"/>
      <c r="O16" s="14"/>
      <c r="P16" s="14"/>
      <c r="Q16" s="14"/>
      <c r="R16" s="14"/>
      <c r="S16" s="14"/>
      <c r="T16" s="14"/>
      <c r="U16" s="14"/>
      <c r="V16" s="14"/>
      <c r="W16" s="48" t="str">
        <f t="shared" si="2"/>
        <v/>
      </c>
      <c r="X16" s="50" t="str">
        <f t="shared" si="3"/>
        <v/>
      </c>
      <c r="Y16" s="48" t="str">
        <f t="shared" si="4"/>
        <v/>
      </c>
      <c r="AA16" s="61"/>
      <c r="AB16" s="48" t="str">
        <f t="shared" si="14"/>
        <v/>
      </c>
      <c r="AC16" s="14"/>
      <c r="AD16" s="48" t="str">
        <f t="shared" si="6"/>
        <v/>
      </c>
      <c r="AE16" s="48" t="str">
        <f t="shared" si="13"/>
        <v/>
      </c>
      <c r="AF16" s="48" t="str">
        <f t="shared" si="7"/>
        <v/>
      </c>
      <c r="AG16" s="14"/>
      <c r="AH16" s="14"/>
      <c r="AI16" s="14"/>
      <c r="AJ16" s="14"/>
      <c r="AK16" s="48" t="str">
        <f t="shared" si="8"/>
        <v/>
      </c>
      <c r="AL16" s="50" t="str">
        <f t="shared" si="9"/>
        <v/>
      </c>
      <c r="AM16" s="48" t="str">
        <f t="shared" si="10"/>
        <v/>
      </c>
    </row>
    <row r="17" spans="1:39" x14ac:dyDescent="0.75">
      <c r="A17" s="62"/>
      <c r="B17" s="7"/>
      <c r="C17" s="7"/>
      <c r="D17" s="7"/>
      <c r="E17" s="7"/>
      <c r="F17" s="7"/>
      <c r="G17" s="49" t="str">
        <f t="shared" si="0"/>
        <v/>
      </c>
      <c r="H17" s="7"/>
      <c r="I17" s="7"/>
      <c r="J17" s="7"/>
      <c r="K17" s="49" t="str">
        <f t="shared" si="1"/>
        <v/>
      </c>
      <c r="L17" s="49" t="str">
        <f t="shared" si="11"/>
        <v/>
      </c>
      <c r="M17" s="49" t="str">
        <f t="shared" si="12"/>
        <v/>
      </c>
      <c r="N17" s="7"/>
      <c r="O17" s="7"/>
      <c r="P17" s="7"/>
      <c r="Q17" s="7"/>
      <c r="R17" s="7"/>
      <c r="S17" s="7"/>
      <c r="T17" s="7"/>
      <c r="U17" s="7"/>
      <c r="V17" s="7"/>
      <c r="W17" s="49" t="str">
        <f t="shared" si="2"/>
        <v/>
      </c>
      <c r="X17" s="51" t="str">
        <f t="shared" si="3"/>
        <v/>
      </c>
      <c r="Y17" s="49" t="str">
        <f t="shared" si="4"/>
        <v/>
      </c>
      <c r="AA17" s="319"/>
      <c r="AB17" s="320" t="str">
        <f t="shared" si="14"/>
        <v/>
      </c>
      <c r="AC17" s="321"/>
      <c r="AD17" s="320" t="str">
        <f t="shared" si="6"/>
        <v/>
      </c>
      <c r="AE17" s="320" t="str">
        <f t="shared" si="13"/>
        <v/>
      </c>
      <c r="AF17" s="326" t="str">
        <f t="shared" si="7"/>
        <v/>
      </c>
      <c r="AG17" s="321"/>
      <c r="AH17" s="321"/>
      <c r="AI17" s="321"/>
      <c r="AJ17" s="321"/>
      <c r="AK17" s="320" t="str">
        <f t="shared" si="8"/>
        <v/>
      </c>
      <c r="AL17" s="327" t="str">
        <f t="shared" si="9"/>
        <v/>
      </c>
      <c r="AM17" s="320" t="str">
        <f t="shared" si="10"/>
        <v/>
      </c>
    </row>
    <row r="18" spans="1:39" ht="41.25" customHeight="1" x14ac:dyDescent="0.75">
      <c r="A18" s="8" t="s">
        <v>22</v>
      </c>
      <c r="B18" s="106" t="s">
        <v>45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6" t="s">
        <v>46</v>
      </c>
      <c r="M18" s="105"/>
      <c r="N18" s="105"/>
      <c r="O18" s="105"/>
      <c r="P18" s="105"/>
      <c r="Q18" s="105"/>
      <c r="R18" s="105"/>
      <c r="S18" s="106" t="s">
        <v>47</v>
      </c>
      <c r="T18" s="105"/>
      <c r="U18" s="105"/>
      <c r="V18" s="105"/>
      <c r="W18" s="105"/>
      <c r="X18" s="105"/>
      <c r="Y18" s="105"/>
    </row>
    <row r="19" spans="1:39" ht="26.25" customHeight="1" x14ac:dyDescent="0.75">
      <c r="A19" s="61"/>
      <c r="B19" s="109"/>
      <c r="C19" s="95"/>
      <c r="D19" s="95"/>
      <c r="E19" s="95"/>
      <c r="F19" s="95"/>
      <c r="G19" s="95"/>
      <c r="H19" s="95"/>
      <c r="I19" s="95"/>
      <c r="J19" s="95"/>
      <c r="K19" s="96"/>
      <c r="L19" s="109"/>
      <c r="M19" s="95"/>
      <c r="N19" s="95"/>
      <c r="O19" s="95"/>
      <c r="P19" s="95"/>
      <c r="Q19" s="95"/>
      <c r="R19" s="96"/>
      <c r="S19" s="107"/>
      <c r="T19" s="88"/>
      <c r="U19" s="88"/>
      <c r="V19" s="88"/>
      <c r="W19" s="88"/>
      <c r="X19" s="88"/>
      <c r="Y19" s="89"/>
    </row>
    <row r="20" spans="1:39" ht="26.25" customHeight="1" x14ac:dyDescent="0.75">
      <c r="A20" s="63"/>
      <c r="B20" s="110"/>
      <c r="C20" s="98"/>
      <c r="D20" s="98"/>
      <c r="E20" s="98"/>
      <c r="F20" s="98"/>
      <c r="G20" s="98"/>
      <c r="H20" s="98"/>
      <c r="I20" s="98"/>
      <c r="J20" s="98"/>
      <c r="K20" s="99"/>
      <c r="L20" s="110"/>
      <c r="M20" s="98"/>
      <c r="N20" s="98"/>
      <c r="O20" s="98"/>
      <c r="P20" s="98"/>
      <c r="Q20" s="98"/>
      <c r="R20" s="99"/>
      <c r="S20" s="108"/>
      <c r="T20" s="91"/>
      <c r="U20" s="91"/>
      <c r="V20" s="91"/>
      <c r="W20" s="91"/>
      <c r="X20" s="91"/>
      <c r="Y20" s="92"/>
    </row>
    <row r="21" spans="1:39" ht="26.25" customHeight="1" x14ac:dyDescent="0.75">
      <c r="A21" s="63"/>
      <c r="B21" s="110"/>
      <c r="C21" s="98"/>
      <c r="D21" s="98"/>
      <c r="E21" s="98"/>
      <c r="F21" s="98"/>
      <c r="G21" s="98"/>
      <c r="H21" s="98"/>
      <c r="I21" s="98"/>
      <c r="J21" s="98"/>
      <c r="K21" s="99"/>
      <c r="L21" s="110"/>
      <c r="M21" s="98"/>
      <c r="N21" s="98"/>
      <c r="O21" s="98"/>
      <c r="P21" s="98"/>
      <c r="Q21" s="98"/>
      <c r="R21" s="99"/>
      <c r="S21" s="108"/>
      <c r="T21" s="91"/>
      <c r="U21" s="91"/>
      <c r="V21" s="91"/>
      <c r="W21" s="91"/>
      <c r="X21" s="91"/>
      <c r="Y21" s="92"/>
    </row>
    <row r="22" spans="1:39" ht="26.25" customHeight="1" x14ac:dyDescent="0.75">
      <c r="A22" s="64"/>
      <c r="B22" s="117"/>
      <c r="C22" s="101"/>
      <c r="D22" s="101"/>
      <c r="E22" s="101"/>
      <c r="F22" s="101"/>
      <c r="G22" s="101"/>
      <c r="H22" s="101"/>
      <c r="I22" s="101"/>
      <c r="J22" s="101"/>
      <c r="K22" s="102"/>
      <c r="L22" s="117"/>
      <c r="M22" s="101"/>
      <c r="N22" s="101"/>
      <c r="O22" s="101"/>
      <c r="P22" s="101"/>
      <c r="Q22" s="101"/>
      <c r="R22" s="102"/>
      <c r="S22" s="116"/>
      <c r="T22" s="85"/>
      <c r="U22" s="85"/>
      <c r="V22" s="85"/>
      <c r="W22" s="85"/>
      <c r="X22" s="85"/>
      <c r="Y22" s="86"/>
    </row>
    <row r="23" spans="1:39" s="6" customFormat="1" ht="33" customHeight="1" x14ac:dyDescent="0.75">
      <c r="A23" s="103" t="s">
        <v>48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spans="1:39" s="1" customFormat="1" ht="27" customHeight="1" x14ac:dyDescent="0.75">
      <c r="A24" s="93" t="s">
        <v>49</v>
      </c>
      <c r="B24" s="93"/>
      <c r="C24" s="93"/>
      <c r="D24" s="93"/>
      <c r="E24" s="93"/>
      <c r="F24" s="93" t="s">
        <v>50</v>
      </c>
      <c r="G24" s="93"/>
      <c r="H24" s="93"/>
      <c r="I24" s="93"/>
      <c r="J24" s="93"/>
      <c r="K24" s="93"/>
      <c r="L24" s="93" t="s">
        <v>51</v>
      </c>
      <c r="M24" s="93"/>
      <c r="N24" s="93"/>
      <c r="O24" s="93"/>
      <c r="P24" s="93"/>
      <c r="Q24" s="93"/>
      <c r="R24" s="93"/>
      <c r="S24" s="93" t="s">
        <v>14</v>
      </c>
      <c r="T24" s="93"/>
      <c r="U24" s="93"/>
      <c r="V24" s="93"/>
      <c r="W24" s="93"/>
      <c r="X24" s="93"/>
      <c r="Y24" s="93"/>
    </row>
    <row r="25" spans="1:39" ht="25.5" customHeight="1" x14ac:dyDescent="0.75">
      <c r="A25" s="94"/>
      <c r="B25" s="95"/>
      <c r="C25" s="95"/>
      <c r="D25" s="95"/>
      <c r="E25" s="96"/>
      <c r="F25" s="94"/>
      <c r="G25" s="95"/>
      <c r="H25" s="95"/>
      <c r="I25" s="95"/>
      <c r="J25" s="95"/>
      <c r="K25" s="96"/>
      <c r="L25" s="87"/>
      <c r="M25" s="88"/>
      <c r="N25" s="88"/>
      <c r="O25" s="88"/>
      <c r="P25" s="88"/>
      <c r="Q25" s="88"/>
      <c r="R25" s="89"/>
      <c r="S25" s="87"/>
      <c r="T25" s="88"/>
      <c r="U25" s="88"/>
      <c r="V25" s="88"/>
      <c r="W25" s="88"/>
      <c r="X25" s="88"/>
      <c r="Y25" s="89"/>
    </row>
    <row r="26" spans="1:39" ht="25.5" customHeight="1" x14ac:dyDescent="0.75">
      <c r="A26" s="97"/>
      <c r="B26" s="98"/>
      <c r="C26" s="98"/>
      <c r="D26" s="98"/>
      <c r="E26" s="99"/>
      <c r="F26" s="97"/>
      <c r="G26" s="98"/>
      <c r="H26" s="98"/>
      <c r="I26" s="98"/>
      <c r="J26" s="98"/>
      <c r="K26" s="99"/>
      <c r="L26" s="90"/>
      <c r="M26" s="91"/>
      <c r="N26" s="91"/>
      <c r="O26" s="91"/>
      <c r="P26" s="91"/>
      <c r="Q26" s="91"/>
      <c r="R26" s="92"/>
      <c r="S26" s="90"/>
      <c r="T26" s="91"/>
      <c r="U26" s="91"/>
      <c r="V26" s="91"/>
      <c r="W26" s="91"/>
      <c r="X26" s="91"/>
      <c r="Y26" s="92"/>
    </row>
    <row r="27" spans="1:39" ht="25.5" customHeight="1" x14ac:dyDescent="0.75">
      <c r="A27" s="97"/>
      <c r="B27" s="98"/>
      <c r="C27" s="98"/>
      <c r="D27" s="98"/>
      <c r="E27" s="99"/>
      <c r="F27" s="97"/>
      <c r="G27" s="98"/>
      <c r="H27" s="98"/>
      <c r="I27" s="98"/>
      <c r="J27" s="98"/>
      <c r="K27" s="99"/>
      <c r="L27" s="90"/>
      <c r="M27" s="91"/>
      <c r="N27" s="91"/>
      <c r="O27" s="91"/>
      <c r="P27" s="91"/>
      <c r="Q27" s="91"/>
      <c r="R27" s="92"/>
      <c r="S27" s="90"/>
      <c r="T27" s="91"/>
      <c r="U27" s="91"/>
      <c r="V27" s="91"/>
      <c r="W27" s="91"/>
      <c r="X27" s="91"/>
      <c r="Y27" s="92"/>
    </row>
    <row r="28" spans="1:39" ht="25.5" customHeight="1" x14ac:dyDescent="0.75">
      <c r="A28" s="100"/>
      <c r="B28" s="101"/>
      <c r="C28" s="101"/>
      <c r="D28" s="101"/>
      <c r="E28" s="102"/>
      <c r="F28" s="100"/>
      <c r="G28" s="101"/>
      <c r="H28" s="101"/>
      <c r="I28" s="101"/>
      <c r="J28" s="101"/>
      <c r="K28" s="102"/>
      <c r="L28" s="84"/>
      <c r="M28" s="85"/>
      <c r="N28" s="85"/>
      <c r="O28" s="85"/>
      <c r="P28" s="85"/>
      <c r="Q28" s="85"/>
      <c r="R28" s="86"/>
      <c r="S28" s="84"/>
      <c r="T28" s="85"/>
      <c r="U28" s="85"/>
      <c r="V28" s="85"/>
      <c r="W28" s="85"/>
      <c r="X28" s="85"/>
      <c r="Y28" s="86"/>
    </row>
  </sheetData>
  <sheetProtection formatCells="0" insertRows="0" deleteRows="0"/>
  <mergeCells count="62">
    <mergeCell ref="AA3:AM3"/>
    <mergeCell ref="AA4:AB5"/>
    <mergeCell ref="AC4:AD5"/>
    <mergeCell ref="AE4:AF5"/>
    <mergeCell ref="AG4:AK5"/>
    <mergeCell ref="AL4:AM5"/>
    <mergeCell ref="S21:Y21"/>
    <mergeCell ref="S22:Y22"/>
    <mergeCell ref="L21:R21"/>
    <mergeCell ref="L22:R22"/>
    <mergeCell ref="B4:B6"/>
    <mergeCell ref="B21:K21"/>
    <mergeCell ref="B22:K22"/>
    <mergeCell ref="Q5:Q6"/>
    <mergeCell ref="S4:W5"/>
    <mergeCell ref="F4:G5"/>
    <mergeCell ref="D4:D6"/>
    <mergeCell ref="C4:C6"/>
    <mergeCell ref="E4:E6"/>
    <mergeCell ref="H4:H6"/>
    <mergeCell ref="J4:K5"/>
    <mergeCell ref="L4:M5"/>
    <mergeCell ref="I4:I6"/>
    <mergeCell ref="P5:P6"/>
    <mergeCell ref="R5:R6"/>
    <mergeCell ref="N5:N6"/>
    <mergeCell ref="O5:O6"/>
    <mergeCell ref="A23:Y23"/>
    <mergeCell ref="L27:R27"/>
    <mergeCell ref="A1:Y2"/>
    <mergeCell ref="A4:A6"/>
    <mergeCell ref="S18:Y18"/>
    <mergeCell ref="S19:Y19"/>
    <mergeCell ref="S20:Y20"/>
    <mergeCell ref="L18:R18"/>
    <mergeCell ref="L19:R19"/>
    <mergeCell ref="L20:R20"/>
    <mergeCell ref="B18:K18"/>
    <mergeCell ref="B19:K19"/>
    <mergeCell ref="B20:K20"/>
    <mergeCell ref="A3:Y3"/>
    <mergeCell ref="X4:Y5"/>
    <mergeCell ref="N4:R4"/>
    <mergeCell ref="A26:E26"/>
    <mergeCell ref="A27:E27"/>
    <mergeCell ref="A28:E28"/>
    <mergeCell ref="F25:K25"/>
    <mergeCell ref="F26:K26"/>
    <mergeCell ref="F27:K27"/>
    <mergeCell ref="F28:K28"/>
    <mergeCell ref="A24:E24"/>
    <mergeCell ref="F24:K24"/>
    <mergeCell ref="L24:R24"/>
    <mergeCell ref="S24:Y24"/>
    <mergeCell ref="A25:E25"/>
    <mergeCell ref="L25:R25"/>
    <mergeCell ref="L28:R28"/>
    <mergeCell ref="S25:Y25"/>
    <mergeCell ref="S26:Y26"/>
    <mergeCell ref="S27:Y27"/>
    <mergeCell ref="S28:Y28"/>
    <mergeCell ref="L26:R26"/>
  </mergeCells>
  <dataValidations count="3">
    <dataValidation type="list" allowBlank="1" showInputMessage="1" showErrorMessage="1" sqref="V8:V17 AJ8:AJ17" xr:uid="{00000000-0002-0000-0100-000000000000}">
      <formula1>"Insignificant,Minor,Moderate,High,Major"</formula1>
    </dataValidation>
    <dataValidation type="list" allowBlank="1" showInputMessage="1" showErrorMessage="1" sqref="F8:F17 AA8:AA17" xr:uid="{00000000-0002-0000-0100-000001000000}">
      <formula1>"&gt;1/month,1/month-1/year,&lt;1/year"</formula1>
    </dataValidation>
    <dataValidation type="list" allowBlank="1" showInputMessage="1" showErrorMessage="1" sqref="J8:J17 AC8:AC17" xr:uid="{00000000-0002-0000-0100-000002000000}">
      <formula1>"&lt;1%,1%-20%,&gt;20%"</formula1>
    </dataValidation>
  </dataValidations>
  <pageMargins left="0.23622047244094491" right="0.55118110236220474" top="0.39370078740157483" bottom="0.48141666666666666" header="0.31496062992125984" footer="0.31496062992125984"/>
  <pageSetup scale="36" fitToHeight="3" orientation="landscape" r:id="rId1"/>
  <headerFooter>
    <oddFooter>&amp;LThis document is uncontrolled when not viewed on the Company's Activ system
Version 4 - 10/05/2024 13:38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F46"/>
  <sheetViews>
    <sheetView showGridLines="0" topLeftCell="A15" zoomScaleNormal="100" workbookViewId="0">
      <selection activeCell="AI38" activeCellId="4" sqref="AU26:AW28 AR29:AT31 AO32:AQ34 AL35:AN37 AI38:AK40"/>
    </sheetView>
  </sheetViews>
  <sheetFormatPr defaultColWidth="9.1328125" defaultRowHeight="14.75" x14ac:dyDescent="0.75"/>
  <cols>
    <col min="1" max="25" customWidth="true" style="15" width="3.7265625"/>
    <col min="26" max="26" customWidth="true" style="15" width="4.40625"/>
    <col min="27" max="57" customWidth="true" style="15" width="3.7265625"/>
    <col min="58" max="58" customWidth="true" style="15" width="17.7265625"/>
    <col min="59" max="99" style="15" width="9.1328125"/>
    <col min="100" max="100" customWidth="true" style="15" width="9.1328125"/>
    <col min="101" max="16384" style="15" width="9.1328125"/>
  </cols>
  <sheetData>
    <row r="1" spans="1:58" x14ac:dyDescent="0.75">
      <c r="A1" s="79" t="s">
        <v>52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</row>
    <row r="2" spans="1:58" ht="15.5" thickBot="1" x14ac:dyDescent="0.9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</row>
    <row r="3" spans="1:58" x14ac:dyDescent="0.7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8"/>
      <c r="AB3" s="1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18"/>
    </row>
    <row r="4" spans="1:58" ht="15" customHeight="1" x14ac:dyDescent="0.75">
      <c r="A4" s="19"/>
      <c r="C4" s="156" t="s">
        <v>53</v>
      </c>
      <c r="D4" s="156"/>
      <c r="E4" s="156"/>
      <c r="F4" s="156"/>
      <c r="G4" s="156"/>
      <c r="H4" s="156"/>
      <c r="I4" s="156"/>
      <c r="J4" s="156"/>
      <c r="K4" s="156"/>
      <c r="N4" s="20"/>
      <c r="O4" s="19"/>
      <c r="Q4" s="296" t="s">
        <v>54</v>
      </c>
      <c r="R4" s="296"/>
      <c r="S4" s="296"/>
      <c r="T4" s="296"/>
      <c r="U4" s="296"/>
      <c r="V4" s="296"/>
      <c r="W4" s="296"/>
      <c r="X4" s="296"/>
      <c r="Y4" s="296"/>
      <c r="AA4" s="20"/>
      <c r="AB4" s="19"/>
      <c r="AC4" s="145" t="s">
        <v>55</v>
      </c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27"/>
      <c r="BF4" s="21"/>
    </row>
    <row r="5" spans="1:58" ht="15" customHeight="1" x14ac:dyDescent="0.75">
      <c r="A5" s="19"/>
      <c r="C5" s="157" t="s">
        <v>35</v>
      </c>
      <c r="D5" s="157"/>
      <c r="E5" s="157"/>
      <c r="F5" s="157"/>
      <c r="G5" s="157"/>
      <c r="H5" s="157"/>
      <c r="I5" s="157" t="s">
        <v>36</v>
      </c>
      <c r="J5" s="157"/>
      <c r="K5" s="157"/>
      <c r="N5" s="20"/>
      <c r="O5" s="19"/>
      <c r="Q5" s="157" t="s">
        <v>56</v>
      </c>
      <c r="R5" s="157"/>
      <c r="S5" s="157"/>
      <c r="T5" s="157"/>
      <c r="U5" s="157"/>
      <c r="V5" s="157"/>
      <c r="W5" s="157" t="s">
        <v>36</v>
      </c>
      <c r="X5" s="157"/>
      <c r="Y5" s="157"/>
      <c r="AA5" s="20"/>
      <c r="AB5" s="19"/>
      <c r="AC5" s="22" t="s">
        <v>57</v>
      </c>
      <c r="AD5" s="22"/>
      <c r="AE5" s="22"/>
      <c r="AF5" s="22"/>
      <c r="AG5" s="121" t="s">
        <v>58</v>
      </c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3"/>
      <c r="AZ5" s="121" t="s">
        <v>59</v>
      </c>
      <c r="BA5" s="122"/>
      <c r="BB5" s="122"/>
      <c r="BC5" s="122"/>
      <c r="BD5" s="123"/>
      <c r="BE5" s="20"/>
    </row>
    <row r="6" spans="1:58" ht="15" customHeight="1" x14ac:dyDescent="0.75">
      <c r="A6" s="19"/>
      <c r="C6" s="158" t="s">
        <v>60</v>
      </c>
      <c r="D6" s="158"/>
      <c r="E6" s="158"/>
      <c r="F6" s="158"/>
      <c r="G6" s="158"/>
      <c r="H6" s="158"/>
      <c r="I6" s="158">
        <v>1</v>
      </c>
      <c r="J6" s="158"/>
      <c r="K6" s="158"/>
      <c r="N6" s="20"/>
      <c r="O6" s="19"/>
      <c r="Q6" s="158" t="s">
        <v>61</v>
      </c>
      <c r="R6" s="158"/>
      <c r="S6" s="158"/>
      <c r="T6" s="158"/>
      <c r="U6" s="158"/>
      <c r="V6" s="158"/>
      <c r="W6" s="158">
        <v>1</v>
      </c>
      <c r="X6" s="158"/>
      <c r="Y6" s="158"/>
      <c r="AA6" s="20"/>
      <c r="AB6" s="19"/>
      <c r="AC6" s="295" t="s">
        <v>62</v>
      </c>
      <c r="AD6" s="295"/>
      <c r="AE6" s="295"/>
      <c r="AF6" s="295"/>
      <c r="AG6" s="147" t="s">
        <v>63</v>
      </c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9"/>
      <c r="AZ6" s="124" t="s">
        <v>64</v>
      </c>
      <c r="BA6" s="125"/>
      <c r="BB6" s="125"/>
      <c r="BC6" s="125"/>
      <c r="BD6" s="126"/>
      <c r="BE6" s="2"/>
    </row>
    <row r="7" spans="1:58" ht="14.25" customHeight="1" x14ac:dyDescent="0.75">
      <c r="A7" s="19"/>
      <c r="C7" s="160" t="s">
        <v>65</v>
      </c>
      <c r="D7" s="160"/>
      <c r="E7" s="160"/>
      <c r="F7" s="160"/>
      <c r="G7" s="160"/>
      <c r="H7" s="160"/>
      <c r="I7" s="160">
        <v>2</v>
      </c>
      <c r="J7" s="160"/>
      <c r="K7" s="160"/>
      <c r="N7" s="20"/>
      <c r="O7" s="19"/>
      <c r="Q7" s="297" t="s">
        <v>66</v>
      </c>
      <c r="R7" s="297"/>
      <c r="S7" s="297"/>
      <c r="T7" s="297"/>
      <c r="U7" s="297"/>
      <c r="V7" s="297"/>
      <c r="W7" s="160">
        <v>2</v>
      </c>
      <c r="X7" s="160"/>
      <c r="Y7" s="160"/>
      <c r="AA7" s="20"/>
      <c r="AB7" s="19"/>
      <c r="AC7" s="158"/>
      <c r="AD7" s="158"/>
      <c r="AE7" s="158"/>
      <c r="AF7" s="158"/>
      <c r="AG7" s="139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1"/>
      <c r="AZ7" s="127"/>
      <c r="BA7" s="128"/>
      <c r="BB7" s="128"/>
      <c r="BC7" s="128"/>
      <c r="BD7" s="129"/>
      <c r="BE7" s="2"/>
    </row>
    <row r="8" spans="1:58" ht="14.45" customHeight="1" x14ac:dyDescent="0.75">
      <c r="A8" s="19"/>
      <c r="C8" s="159" t="s">
        <v>67</v>
      </c>
      <c r="D8" s="159"/>
      <c r="E8" s="159"/>
      <c r="F8" s="159"/>
      <c r="G8" s="159"/>
      <c r="H8" s="159"/>
      <c r="I8" s="159">
        <v>3</v>
      </c>
      <c r="J8" s="159"/>
      <c r="K8" s="159"/>
      <c r="N8" s="20"/>
      <c r="O8" s="19"/>
      <c r="Q8" s="159" t="s">
        <v>68</v>
      </c>
      <c r="R8" s="159"/>
      <c r="S8" s="159"/>
      <c r="T8" s="159"/>
      <c r="U8" s="159"/>
      <c r="V8" s="159"/>
      <c r="W8" s="159">
        <v>3</v>
      </c>
      <c r="X8" s="159"/>
      <c r="Y8" s="159"/>
      <c r="AA8" s="20"/>
      <c r="AB8" s="19"/>
      <c r="AC8" s="159" t="s">
        <v>69</v>
      </c>
      <c r="AD8" s="159"/>
      <c r="AE8" s="159"/>
      <c r="AF8" s="159"/>
      <c r="AG8" s="133" t="s">
        <v>70</v>
      </c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5"/>
      <c r="AZ8" s="130" t="s">
        <v>71</v>
      </c>
      <c r="BA8" s="131"/>
      <c r="BB8" s="131"/>
      <c r="BC8" s="131"/>
      <c r="BD8" s="132"/>
      <c r="BE8" s="2"/>
    </row>
    <row r="9" spans="1:58" x14ac:dyDescent="0.75">
      <c r="A9" s="19"/>
      <c r="N9" s="20"/>
      <c r="O9" s="19"/>
      <c r="AA9" s="20"/>
      <c r="AB9" s="19"/>
      <c r="AC9" s="158"/>
      <c r="AD9" s="158"/>
      <c r="AE9" s="158"/>
      <c r="AF9" s="158"/>
      <c r="AG9" s="139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1"/>
      <c r="AZ9" s="127"/>
      <c r="BA9" s="128"/>
      <c r="BB9" s="128"/>
      <c r="BC9" s="128"/>
      <c r="BD9" s="129"/>
      <c r="BE9" s="2"/>
    </row>
    <row r="10" spans="1:58" ht="15" customHeight="1" thickBot="1" x14ac:dyDescent="0.9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  <c r="O10" s="23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  <c r="AB10" s="19"/>
      <c r="AC10" s="159" t="s">
        <v>72</v>
      </c>
      <c r="AD10" s="159"/>
      <c r="AE10" s="159"/>
      <c r="AF10" s="159"/>
      <c r="AG10" s="133" t="s">
        <v>73</v>
      </c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5"/>
      <c r="AZ10" s="133" t="s">
        <v>74</v>
      </c>
      <c r="BA10" s="134"/>
      <c r="BB10" s="134"/>
      <c r="BC10" s="134"/>
      <c r="BD10" s="135"/>
      <c r="BE10" s="2"/>
    </row>
    <row r="11" spans="1:58" x14ac:dyDescent="0.75">
      <c r="A11" s="19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  <c r="AB11" s="19"/>
      <c r="AC11" s="295"/>
      <c r="AD11" s="295"/>
      <c r="AE11" s="295"/>
      <c r="AF11" s="295"/>
      <c r="AG11" s="136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8"/>
      <c r="AZ11" s="136"/>
      <c r="BA11" s="137"/>
      <c r="BB11" s="137"/>
      <c r="BC11" s="137"/>
      <c r="BD11" s="138"/>
      <c r="BE11" s="2"/>
    </row>
    <row r="12" spans="1:58" x14ac:dyDescent="0.75">
      <c r="A12" s="19"/>
      <c r="B12" s="21"/>
      <c r="AA12" s="20"/>
      <c r="AB12" s="19"/>
      <c r="AC12" s="158"/>
      <c r="AD12" s="158"/>
      <c r="AE12" s="158"/>
      <c r="AF12" s="158"/>
      <c r="AG12" s="139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1"/>
      <c r="AZ12" s="139"/>
      <c r="BA12" s="140"/>
      <c r="BB12" s="140"/>
      <c r="BC12" s="140"/>
      <c r="BD12" s="141"/>
      <c r="BE12" s="2"/>
    </row>
    <row r="13" spans="1:58" ht="14.25" customHeight="1" x14ac:dyDescent="0.75">
      <c r="A13" s="19"/>
      <c r="B13" s="153" t="s">
        <v>75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5"/>
      <c r="AA13" s="20"/>
      <c r="AB13" s="19"/>
      <c r="AC13" s="159" t="s">
        <v>76</v>
      </c>
      <c r="AD13" s="159"/>
      <c r="AE13" s="159"/>
      <c r="AF13" s="159"/>
      <c r="AG13" s="133" t="s">
        <v>77</v>
      </c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5"/>
      <c r="AZ13" s="133" t="s">
        <v>78</v>
      </c>
      <c r="BA13" s="134"/>
      <c r="BB13" s="134"/>
      <c r="BC13" s="134"/>
      <c r="BD13" s="135"/>
      <c r="BE13" s="20"/>
    </row>
    <row r="14" spans="1:58" x14ac:dyDescent="0.75">
      <c r="A14" s="19"/>
      <c r="B14" s="164" t="s">
        <v>79</v>
      </c>
      <c r="C14" s="164"/>
      <c r="D14" s="164"/>
      <c r="E14" s="164"/>
      <c r="F14" s="164"/>
      <c r="G14" s="164"/>
      <c r="H14" s="164" t="s">
        <v>80</v>
      </c>
      <c r="I14" s="164"/>
      <c r="J14" s="164"/>
      <c r="K14" s="164"/>
      <c r="L14" s="164"/>
      <c r="M14" s="164"/>
      <c r="N14" s="164"/>
      <c r="O14" s="164" t="s">
        <v>81</v>
      </c>
      <c r="P14" s="164"/>
      <c r="Q14" s="164"/>
      <c r="R14" s="161" t="s">
        <v>26</v>
      </c>
      <c r="S14" s="163"/>
      <c r="T14" s="161" t="s">
        <v>56</v>
      </c>
      <c r="U14" s="162"/>
      <c r="V14" s="163"/>
      <c r="W14" s="161" t="s">
        <v>82</v>
      </c>
      <c r="X14" s="162"/>
      <c r="Y14" s="162"/>
      <c r="Z14" s="163"/>
      <c r="AA14" s="20"/>
      <c r="AB14" s="19"/>
      <c r="AC14" s="158"/>
      <c r="AD14" s="158"/>
      <c r="AE14" s="158"/>
      <c r="AF14" s="158"/>
      <c r="AG14" s="139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1"/>
      <c r="AZ14" s="139"/>
      <c r="BA14" s="140"/>
      <c r="BB14" s="140"/>
      <c r="BC14" s="140"/>
      <c r="BD14" s="141"/>
      <c r="BE14" s="20"/>
    </row>
    <row r="15" spans="1:58" ht="24" customHeight="1" x14ac:dyDescent="0.75">
      <c r="A15" s="19"/>
      <c r="B15" s="164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298" t="s">
        <v>36</v>
      </c>
      <c r="S15" s="300"/>
      <c r="T15" s="298" t="s">
        <v>36</v>
      </c>
      <c r="U15" s="299"/>
      <c r="V15" s="300"/>
      <c r="W15" s="298" t="s">
        <v>83</v>
      </c>
      <c r="X15" s="299"/>
      <c r="Y15" s="299"/>
      <c r="Z15" s="300"/>
      <c r="AA15" s="20"/>
      <c r="AB15" s="19"/>
      <c r="AC15" s="159" t="s">
        <v>84</v>
      </c>
      <c r="AD15" s="159"/>
      <c r="AE15" s="159"/>
      <c r="AF15" s="159"/>
      <c r="AG15" s="133" t="s">
        <v>85</v>
      </c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5"/>
      <c r="AZ15" s="130" t="s">
        <v>86</v>
      </c>
      <c r="BA15" s="131"/>
      <c r="BB15" s="131"/>
      <c r="BC15" s="131"/>
      <c r="BD15" s="132"/>
      <c r="BE15" s="20"/>
    </row>
    <row r="16" spans="1:58" x14ac:dyDescent="0.75">
      <c r="A16" s="19"/>
      <c r="B16" s="81" t="s">
        <v>60</v>
      </c>
      <c r="C16" s="81"/>
      <c r="D16" s="81"/>
      <c r="E16" s="81"/>
      <c r="F16" s="81"/>
      <c r="G16" s="81"/>
      <c r="H16" s="81" t="s">
        <v>61</v>
      </c>
      <c r="I16" s="81"/>
      <c r="J16" s="81"/>
      <c r="K16" s="81"/>
      <c r="L16" s="81"/>
      <c r="M16" s="81"/>
      <c r="N16" s="81"/>
      <c r="O16" s="81" t="s">
        <v>87</v>
      </c>
      <c r="P16" s="81"/>
      <c r="Q16" s="81"/>
      <c r="R16" s="81">
        <f>1*1*1</f>
        <v>1</v>
      </c>
      <c r="S16" s="81"/>
      <c r="T16" s="81">
        <v>1</v>
      </c>
      <c r="U16" s="81"/>
      <c r="V16" s="81"/>
      <c r="W16" s="81">
        <f t="shared" ref="W16:W24" si="0">T16+R16</f>
        <v>2</v>
      </c>
      <c r="X16" s="81"/>
      <c r="Y16" s="81"/>
      <c r="Z16" s="81"/>
      <c r="AA16" s="20"/>
      <c r="AB16" s="19"/>
      <c r="AC16" s="295"/>
      <c r="AD16" s="295"/>
      <c r="AE16" s="295"/>
      <c r="AF16" s="295"/>
      <c r="AG16" s="150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2"/>
      <c r="AZ16" s="142"/>
      <c r="BA16" s="143"/>
      <c r="BB16" s="143"/>
      <c r="BC16" s="143"/>
      <c r="BD16" s="144"/>
      <c r="BE16" s="20"/>
    </row>
    <row r="17" spans="1:57" ht="15" customHeight="1" x14ac:dyDescent="0.75">
      <c r="A17" s="19"/>
      <c r="B17" s="286" t="s">
        <v>65</v>
      </c>
      <c r="C17" s="286"/>
      <c r="D17" s="286"/>
      <c r="E17" s="286"/>
      <c r="F17" s="286"/>
      <c r="G17" s="286"/>
      <c r="H17" s="286" t="s">
        <v>61</v>
      </c>
      <c r="I17" s="286"/>
      <c r="J17" s="286"/>
      <c r="K17" s="286"/>
      <c r="L17" s="286"/>
      <c r="M17" s="286"/>
      <c r="N17" s="286"/>
      <c r="O17" s="286" t="s">
        <v>88</v>
      </c>
      <c r="P17" s="286"/>
      <c r="Q17" s="286"/>
      <c r="R17" s="286">
        <v>2</v>
      </c>
      <c r="S17" s="286"/>
      <c r="T17" s="286">
        <v>1</v>
      </c>
      <c r="U17" s="286"/>
      <c r="V17" s="286"/>
      <c r="W17" s="286">
        <f t="shared" si="0"/>
        <v>3</v>
      </c>
      <c r="X17" s="286"/>
      <c r="Y17" s="286"/>
      <c r="Z17" s="286"/>
      <c r="AA17" s="20"/>
      <c r="AB17" s="19"/>
      <c r="BE17" s="20"/>
    </row>
    <row r="18" spans="1:57" ht="15.5" thickBot="1" x14ac:dyDescent="0.9">
      <c r="A18" s="19"/>
      <c r="B18" s="286" t="s">
        <v>60</v>
      </c>
      <c r="C18" s="286"/>
      <c r="D18" s="286"/>
      <c r="E18" s="286"/>
      <c r="F18" s="286"/>
      <c r="G18" s="286"/>
      <c r="H18" s="286" t="s">
        <v>66</v>
      </c>
      <c r="I18" s="286"/>
      <c r="J18" s="286"/>
      <c r="K18" s="286"/>
      <c r="L18" s="286"/>
      <c r="M18" s="286"/>
      <c r="N18" s="286"/>
      <c r="O18" s="286" t="s">
        <v>88</v>
      </c>
      <c r="P18" s="286"/>
      <c r="Q18" s="286"/>
      <c r="R18" s="286">
        <v>1</v>
      </c>
      <c r="S18" s="286"/>
      <c r="T18" s="286">
        <v>2</v>
      </c>
      <c r="U18" s="286"/>
      <c r="V18" s="286"/>
      <c r="W18" s="286">
        <f t="shared" si="0"/>
        <v>3</v>
      </c>
      <c r="X18" s="286"/>
      <c r="Y18" s="286"/>
      <c r="Z18" s="286"/>
      <c r="AA18" s="20"/>
      <c r="AB18" s="23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5"/>
    </row>
    <row r="19" spans="1:57" x14ac:dyDescent="0.75">
      <c r="A19" s="19"/>
      <c r="B19" s="286" t="s">
        <v>65</v>
      </c>
      <c r="C19" s="286"/>
      <c r="D19" s="286"/>
      <c r="E19" s="286"/>
      <c r="F19" s="286"/>
      <c r="G19" s="286"/>
      <c r="H19" s="286" t="s">
        <v>66</v>
      </c>
      <c r="I19" s="286"/>
      <c r="J19" s="286"/>
      <c r="K19" s="286"/>
      <c r="L19" s="286"/>
      <c r="M19" s="286"/>
      <c r="N19" s="286"/>
      <c r="O19" s="286" t="s">
        <v>89</v>
      </c>
      <c r="P19" s="286"/>
      <c r="Q19" s="286"/>
      <c r="R19" s="286">
        <v>2</v>
      </c>
      <c r="S19" s="286"/>
      <c r="T19" s="286">
        <v>2</v>
      </c>
      <c r="U19" s="286"/>
      <c r="V19" s="286"/>
      <c r="W19" s="286">
        <f t="shared" si="0"/>
        <v>4</v>
      </c>
      <c r="X19" s="286"/>
      <c r="Y19" s="286"/>
      <c r="Z19" s="286"/>
      <c r="AA19" s="20"/>
      <c r="AB19" s="16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8"/>
    </row>
    <row r="20" spans="1:57" x14ac:dyDescent="0.75">
      <c r="A20" s="19"/>
      <c r="B20" s="286" t="s">
        <v>60</v>
      </c>
      <c r="C20" s="286"/>
      <c r="D20" s="286"/>
      <c r="E20" s="286"/>
      <c r="F20" s="286"/>
      <c r="G20" s="286"/>
      <c r="H20" s="286" t="s">
        <v>68</v>
      </c>
      <c r="I20" s="286"/>
      <c r="J20" s="286"/>
      <c r="K20" s="286"/>
      <c r="L20" s="286"/>
      <c r="M20" s="286"/>
      <c r="N20" s="286"/>
      <c r="O20" s="286" t="s">
        <v>89</v>
      </c>
      <c r="P20" s="286"/>
      <c r="Q20" s="286"/>
      <c r="R20" s="286">
        <v>1</v>
      </c>
      <c r="S20" s="286"/>
      <c r="T20" s="286">
        <v>3</v>
      </c>
      <c r="U20" s="286"/>
      <c r="V20" s="286"/>
      <c r="W20" s="286">
        <f t="shared" si="0"/>
        <v>4</v>
      </c>
      <c r="X20" s="286"/>
      <c r="Y20" s="286"/>
      <c r="Z20" s="286"/>
      <c r="AA20" s="20"/>
      <c r="AB20" s="19"/>
      <c r="AC20" s="21"/>
      <c r="BE20" s="20"/>
    </row>
    <row r="21" spans="1:57" ht="15" customHeight="1" x14ac:dyDescent="0.75">
      <c r="A21" s="19"/>
      <c r="B21" s="286" t="s">
        <v>67</v>
      </c>
      <c r="C21" s="286"/>
      <c r="D21" s="286"/>
      <c r="E21" s="286"/>
      <c r="F21" s="286"/>
      <c r="G21" s="286"/>
      <c r="H21" s="286" t="s">
        <v>61</v>
      </c>
      <c r="I21" s="286"/>
      <c r="J21" s="286"/>
      <c r="K21" s="286"/>
      <c r="L21" s="286"/>
      <c r="M21" s="286"/>
      <c r="N21" s="286"/>
      <c r="O21" s="286" t="s">
        <v>89</v>
      </c>
      <c r="P21" s="286"/>
      <c r="Q21" s="286"/>
      <c r="R21" s="286">
        <v>3</v>
      </c>
      <c r="S21" s="286"/>
      <c r="T21" s="286">
        <v>1</v>
      </c>
      <c r="U21" s="286"/>
      <c r="V21" s="286"/>
      <c r="W21" s="286">
        <f t="shared" si="0"/>
        <v>4</v>
      </c>
      <c r="X21" s="286"/>
      <c r="Y21" s="286"/>
      <c r="Z21" s="286"/>
      <c r="AA21" s="20"/>
      <c r="AB21" s="19"/>
      <c r="BE21" s="20"/>
    </row>
    <row r="22" spans="1:57" ht="15" customHeight="1" x14ac:dyDescent="0.75">
      <c r="A22" s="19"/>
      <c r="B22" s="286" t="s">
        <v>67</v>
      </c>
      <c r="C22" s="286"/>
      <c r="D22" s="286"/>
      <c r="E22" s="286"/>
      <c r="F22" s="286"/>
      <c r="G22" s="286"/>
      <c r="H22" s="286" t="s">
        <v>66</v>
      </c>
      <c r="I22" s="286"/>
      <c r="J22" s="286"/>
      <c r="K22" s="286"/>
      <c r="L22" s="286"/>
      <c r="M22" s="286"/>
      <c r="N22" s="286"/>
      <c r="O22" s="286" t="s">
        <v>76</v>
      </c>
      <c r="P22" s="286"/>
      <c r="Q22" s="286"/>
      <c r="R22" s="286">
        <v>3</v>
      </c>
      <c r="S22" s="286"/>
      <c r="T22" s="286">
        <v>2</v>
      </c>
      <c r="U22" s="286"/>
      <c r="V22" s="286"/>
      <c r="W22" s="286">
        <f t="shared" si="0"/>
        <v>5</v>
      </c>
      <c r="X22" s="286"/>
      <c r="Y22" s="286"/>
      <c r="Z22" s="286"/>
      <c r="AA22" s="20"/>
      <c r="AB22" s="19"/>
      <c r="AC22" s="183" t="s">
        <v>90</v>
      </c>
      <c r="AD22" s="184"/>
      <c r="AE22" s="184"/>
      <c r="AF22" s="184"/>
      <c r="AG22" s="184"/>
      <c r="AH22" s="185"/>
      <c r="AI22" s="193" t="s">
        <v>81</v>
      </c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5"/>
      <c r="BE22" s="20"/>
    </row>
    <row r="23" spans="1:57" ht="15" customHeight="1" x14ac:dyDescent="0.75">
      <c r="A23" s="19"/>
      <c r="B23" s="286" t="s">
        <v>65</v>
      </c>
      <c r="C23" s="286"/>
      <c r="D23" s="286"/>
      <c r="E23" s="286"/>
      <c r="F23" s="286"/>
      <c r="G23" s="286"/>
      <c r="H23" s="286" t="s">
        <v>68</v>
      </c>
      <c r="I23" s="286"/>
      <c r="J23" s="286"/>
      <c r="K23" s="286"/>
      <c r="L23" s="286"/>
      <c r="M23" s="286"/>
      <c r="N23" s="286"/>
      <c r="O23" s="286" t="s">
        <v>76</v>
      </c>
      <c r="P23" s="286"/>
      <c r="Q23" s="286"/>
      <c r="R23" s="286">
        <v>2</v>
      </c>
      <c r="S23" s="286"/>
      <c r="T23" s="286">
        <v>3</v>
      </c>
      <c r="U23" s="286"/>
      <c r="V23" s="286"/>
      <c r="W23" s="286">
        <f t="shared" si="0"/>
        <v>5</v>
      </c>
      <c r="X23" s="286"/>
      <c r="Y23" s="286"/>
      <c r="Z23" s="286"/>
      <c r="AA23" s="20"/>
      <c r="AB23" s="19"/>
      <c r="AC23" s="186"/>
      <c r="AD23" s="187"/>
      <c r="AE23" s="187"/>
      <c r="AF23" s="187"/>
      <c r="AG23" s="187"/>
      <c r="AH23" s="188"/>
      <c r="AI23" s="196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8"/>
      <c r="BE23" s="20"/>
    </row>
    <row r="24" spans="1:57" x14ac:dyDescent="0.75">
      <c r="A24" s="19"/>
      <c r="B24" s="285" t="s">
        <v>67</v>
      </c>
      <c r="C24" s="285"/>
      <c r="D24" s="285"/>
      <c r="E24" s="285"/>
      <c r="F24" s="285"/>
      <c r="G24" s="285"/>
      <c r="H24" s="285" t="s">
        <v>68</v>
      </c>
      <c r="I24" s="285"/>
      <c r="J24" s="285"/>
      <c r="K24" s="285"/>
      <c r="L24" s="285"/>
      <c r="M24" s="285"/>
      <c r="N24" s="285"/>
      <c r="O24" s="285" t="s">
        <v>91</v>
      </c>
      <c r="P24" s="285"/>
      <c r="Q24" s="285"/>
      <c r="R24" s="285">
        <v>3</v>
      </c>
      <c r="S24" s="285"/>
      <c r="T24" s="285">
        <v>3</v>
      </c>
      <c r="U24" s="285"/>
      <c r="V24" s="285"/>
      <c r="W24" s="285">
        <f t="shared" si="0"/>
        <v>6</v>
      </c>
      <c r="X24" s="285"/>
      <c r="Y24" s="285"/>
      <c r="Z24" s="285"/>
      <c r="AA24" s="20"/>
      <c r="AB24" s="19"/>
      <c r="AC24" s="186"/>
      <c r="AD24" s="187"/>
      <c r="AE24" s="187"/>
      <c r="AF24" s="187"/>
      <c r="AG24" s="187"/>
      <c r="AH24" s="189"/>
      <c r="AI24" s="199" t="s">
        <v>92</v>
      </c>
      <c r="AJ24" s="200"/>
      <c r="AK24" s="201"/>
      <c r="AL24" s="199" t="s">
        <v>93</v>
      </c>
      <c r="AM24" s="200"/>
      <c r="AN24" s="201"/>
      <c r="AO24" s="205" t="s">
        <v>94</v>
      </c>
      <c r="AP24" s="206"/>
      <c r="AQ24" s="207"/>
      <c r="AR24" s="205" t="s">
        <v>95</v>
      </c>
      <c r="AS24" s="206"/>
      <c r="AT24" s="207"/>
      <c r="AU24" s="205" t="s">
        <v>96</v>
      </c>
      <c r="AV24" s="206"/>
      <c r="AW24" s="207"/>
      <c r="BE24" s="20"/>
    </row>
    <row r="25" spans="1:57" ht="15" customHeight="1" x14ac:dyDescent="0.75">
      <c r="A25" s="19"/>
      <c r="AA25" s="20"/>
      <c r="AB25" s="19"/>
      <c r="AC25" s="190"/>
      <c r="AD25" s="191"/>
      <c r="AE25" s="191"/>
      <c r="AF25" s="191"/>
      <c r="AG25" s="191"/>
      <c r="AH25" s="192"/>
      <c r="AI25" s="202"/>
      <c r="AJ25" s="203"/>
      <c r="AK25" s="204"/>
      <c r="AL25" s="202"/>
      <c r="AM25" s="203"/>
      <c r="AN25" s="204"/>
      <c r="AO25" s="208"/>
      <c r="AP25" s="209"/>
      <c r="AQ25" s="210"/>
      <c r="AR25" s="208"/>
      <c r="AS25" s="209"/>
      <c r="AT25" s="210"/>
      <c r="AU25" s="208"/>
      <c r="AV25" s="209"/>
      <c r="AW25" s="210"/>
      <c r="BE25" s="20"/>
    </row>
    <row r="26" spans="1:57" x14ac:dyDescent="0.75">
      <c r="A26" s="19"/>
      <c r="AA26" s="20"/>
      <c r="AB26" s="19"/>
      <c r="AC26" s="277" t="s">
        <v>97</v>
      </c>
      <c r="AD26" s="278"/>
      <c r="AE26" s="199" t="s">
        <v>98</v>
      </c>
      <c r="AF26" s="206"/>
      <c r="AG26" s="206"/>
      <c r="AH26" s="207"/>
      <c r="AI26" s="211">
        <v>1</v>
      </c>
      <c r="AJ26" s="212"/>
      <c r="AK26" s="213"/>
      <c r="AL26" s="211">
        <v>3</v>
      </c>
      <c r="AM26" s="212"/>
      <c r="AN26" s="213"/>
      <c r="AO26" s="283">
        <v>4</v>
      </c>
      <c r="AP26" s="212"/>
      <c r="AQ26" s="213"/>
      <c r="AR26" s="165">
        <v>5</v>
      </c>
      <c r="AS26" s="166"/>
      <c r="AT26" s="167"/>
      <c r="AU26" s="165">
        <v>6</v>
      </c>
      <c r="AV26" s="166"/>
      <c r="AW26" s="167"/>
      <c r="BE26" s="20"/>
    </row>
    <row r="27" spans="1:57" x14ac:dyDescent="0.75">
      <c r="A27" s="19"/>
      <c r="C27" s="3"/>
      <c r="D27" s="228" t="s">
        <v>53</v>
      </c>
      <c r="E27" s="229"/>
      <c r="F27" s="262" t="s">
        <v>99</v>
      </c>
      <c r="G27" s="206"/>
      <c r="H27" s="206"/>
      <c r="I27" s="206"/>
      <c r="J27" s="263"/>
      <c r="K27" s="248" t="s">
        <v>100</v>
      </c>
      <c r="L27" s="249"/>
      <c r="M27" s="249"/>
      <c r="N27" s="289" t="s">
        <v>101</v>
      </c>
      <c r="O27" s="289"/>
      <c r="P27" s="289"/>
      <c r="Q27" s="290" t="s">
        <v>102</v>
      </c>
      <c r="R27" s="290"/>
      <c r="S27" s="291"/>
      <c r="AA27" s="20"/>
      <c r="AB27" s="19"/>
      <c r="AC27" s="279"/>
      <c r="AD27" s="280"/>
      <c r="AE27" s="174"/>
      <c r="AF27" s="172"/>
      <c r="AG27" s="172"/>
      <c r="AH27" s="173"/>
      <c r="AI27" s="175"/>
      <c r="AJ27" s="176"/>
      <c r="AK27" s="177"/>
      <c r="AL27" s="175"/>
      <c r="AM27" s="176"/>
      <c r="AN27" s="177"/>
      <c r="AO27" s="284"/>
      <c r="AP27" s="176"/>
      <c r="AQ27" s="177"/>
      <c r="AR27" s="168"/>
      <c r="AS27" s="169"/>
      <c r="AT27" s="170"/>
      <c r="AU27" s="168"/>
      <c r="AV27" s="169"/>
      <c r="AW27" s="170"/>
      <c r="BE27" s="20"/>
    </row>
    <row r="28" spans="1:57" x14ac:dyDescent="0.75">
      <c r="A28" s="19"/>
      <c r="C28" s="3"/>
      <c r="D28" s="230"/>
      <c r="E28" s="231"/>
      <c r="F28" s="174"/>
      <c r="G28" s="172"/>
      <c r="H28" s="172"/>
      <c r="I28" s="172"/>
      <c r="J28" s="257"/>
      <c r="K28" s="250"/>
      <c r="L28" s="251"/>
      <c r="M28" s="251"/>
      <c r="N28" s="287"/>
      <c r="O28" s="287"/>
      <c r="P28" s="287"/>
      <c r="Q28" s="292"/>
      <c r="R28" s="292"/>
      <c r="S28" s="293"/>
      <c r="AA28" s="20"/>
      <c r="AB28" s="19"/>
      <c r="AC28" s="279"/>
      <c r="AD28" s="280"/>
      <c r="AE28" s="174"/>
      <c r="AF28" s="172"/>
      <c r="AG28" s="172"/>
      <c r="AH28" s="173"/>
      <c r="AI28" s="175"/>
      <c r="AJ28" s="176"/>
      <c r="AK28" s="177"/>
      <c r="AL28" s="175"/>
      <c r="AM28" s="176"/>
      <c r="AN28" s="177"/>
      <c r="AO28" s="284"/>
      <c r="AP28" s="176"/>
      <c r="AQ28" s="177"/>
      <c r="AR28" s="168"/>
      <c r="AS28" s="169"/>
      <c r="AT28" s="170"/>
      <c r="AU28" s="168"/>
      <c r="AV28" s="169"/>
      <c r="AW28" s="170"/>
      <c r="BE28" s="20"/>
    </row>
    <row r="29" spans="1:57" x14ac:dyDescent="0.75">
      <c r="A29" s="19"/>
      <c r="C29" s="3"/>
      <c r="D29" s="230"/>
      <c r="E29" s="231"/>
      <c r="F29" s="174"/>
      <c r="G29" s="172"/>
      <c r="H29" s="172"/>
      <c r="I29" s="172"/>
      <c r="J29" s="257"/>
      <c r="K29" s="250"/>
      <c r="L29" s="251"/>
      <c r="M29" s="251"/>
      <c r="N29" s="287"/>
      <c r="O29" s="287"/>
      <c r="P29" s="287"/>
      <c r="Q29" s="292"/>
      <c r="R29" s="292"/>
      <c r="S29" s="293"/>
      <c r="AA29" s="20"/>
      <c r="AB29" s="19"/>
      <c r="AC29" s="279"/>
      <c r="AD29" s="280"/>
      <c r="AE29" s="171" t="s">
        <v>103</v>
      </c>
      <c r="AF29" s="172"/>
      <c r="AG29" s="172"/>
      <c r="AH29" s="173"/>
      <c r="AI29" s="175">
        <v>2</v>
      </c>
      <c r="AJ29" s="176"/>
      <c r="AK29" s="177"/>
      <c r="AL29" s="178">
        <v>6</v>
      </c>
      <c r="AM29" s="169"/>
      <c r="AN29" s="170"/>
      <c r="AO29" s="168">
        <v>8</v>
      </c>
      <c r="AP29" s="169"/>
      <c r="AQ29" s="170"/>
      <c r="AR29" s="168">
        <v>10</v>
      </c>
      <c r="AS29" s="169"/>
      <c r="AT29" s="170"/>
      <c r="AU29" s="168">
        <v>12</v>
      </c>
      <c r="AV29" s="169"/>
      <c r="AW29" s="170"/>
      <c r="BE29" s="20"/>
    </row>
    <row r="30" spans="1:57" ht="15" customHeight="1" x14ac:dyDescent="0.75">
      <c r="A30" s="19"/>
      <c r="C30" s="3"/>
      <c r="D30" s="230"/>
      <c r="E30" s="231"/>
      <c r="F30" s="171" t="s">
        <v>104</v>
      </c>
      <c r="G30" s="260"/>
      <c r="H30" s="260"/>
      <c r="I30" s="260"/>
      <c r="J30" s="261"/>
      <c r="K30" s="252" t="s">
        <v>105</v>
      </c>
      <c r="L30" s="253"/>
      <c r="M30" s="253"/>
      <c r="N30" s="251" t="s">
        <v>100</v>
      </c>
      <c r="O30" s="251"/>
      <c r="P30" s="251"/>
      <c r="Q30" s="287" t="s">
        <v>101</v>
      </c>
      <c r="R30" s="287"/>
      <c r="S30" s="288"/>
      <c r="AA30" s="20"/>
      <c r="AB30" s="19"/>
      <c r="AC30" s="279"/>
      <c r="AD30" s="280"/>
      <c r="AE30" s="174"/>
      <c r="AF30" s="172"/>
      <c r="AG30" s="172"/>
      <c r="AH30" s="173"/>
      <c r="AI30" s="175"/>
      <c r="AJ30" s="176"/>
      <c r="AK30" s="177"/>
      <c r="AL30" s="178"/>
      <c r="AM30" s="169"/>
      <c r="AN30" s="170"/>
      <c r="AO30" s="168"/>
      <c r="AP30" s="169"/>
      <c r="AQ30" s="170"/>
      <c r="AR30" s="168"/>
      <c r="AS30" s="169"/>
      <c r="AT30" s="170"/>
      <c r="AU30" s="168"/>
      <c r="AV30" s="169"/>
      <c r="AW30" s="170"/>
      <c r="BB30" s="179" t="s">
        <v>106</v>
      </c>
      <c r="BC30" s="179"/>
      <c r="BD30" s="179"/>
      <c r="BE30" s="4"/>
    </row>
    <row r="31" spans="1:57" ht="15" customHeight="1" x14ac:dyDescent="0.75">
      <c r="A31" s="19"/>
      <c r="C31" s="3"/>
      <c r="D31" s="230"/>
      <c r="E31" s="231"/>
      <c r="F31" s="171"/>
      <c r="G31" s="260"/>
      <c r="H31" s="260"/>
      <c r="I31" s="260"/>
      <c r="J31" s="261"/>
      <c r="K31" s="252"/>
      <c r="L31" s="253"/>
      <c r="M31" s="253"/>
      <c r="N31" s="251"/>
      <c r="O31" s="251"/>
      <c r="P31" s="251"/>
      <c r="Q31" s="287"/>
      <c r="R31" s="287"/>
      <c r="S31" s="288"/>
      <c r="AA31" s="20"/>
      <c r="AB31" s="19"/>
      <c r="AC31" s="279"/>
      <c r="AD31" s="280"/>
      <c r="AE31" s="174"/>
      <c r="AF31" s="172"/>
      <c r="AG31" s="172"/>
      <c r="AH31" s="173"/>
      <c r="AI31" s="175"/>
      <c r="AJ31" s="176"/>
      <c r="AK31" s="177"/>
      <c r="AL31" s="178"/>
      <c r="AM31" s="169"/>
      <c r="AN31" s="170"/>
      <c r="AO31" s="168"/>
      <c r="AP31" s="169"/>
      <c r="AQ31" s="170"/>
      <c r="AR31" s="168"/>
      <c r="AS31" s="169"/>
      <c r="AT31" s="170"/>
      <c r="AU31" s="168"/>
      <c r="AV31" s="169"/>
      <c r="AW31" s="170"/>
      <c r="BB31" s="179"/>
      <c r="BC31" s="179"/>
      <c r="BD31" s="179"/>
      <c r="BE31" s="4"/>
    </row>
    <row r="32" spans="1:57" ht="15.75" customHeight="1" x14ac:dyDescent="0.75">
      <c r="A32" s="19"/>
      <c r="C32" s="3"/>
      <c r="D32" s="230"/>
      <c r="E32" s="231"/>
      <c r="F32" s="171"/>
      <c r="G32" s="260"/>
      <c r="H32" s="260"/>
      <c r="I32" s="260"/>
      <c r="J32" s="261"/>
      <c r="K32" s="252"/>
      <c r="L32" s="253"/>
      <c r="M32" s="253"/>
      <c r="N32" s="251"/>
      <c r="O32" s="251"/>
      <c r="P32" s="251"/>
      <c r="Q32" s="287"/>
      <c r="R32" s="287"/>
      <c r="S32" s="288"/>
      <c r="AA32" s="20"/>
      <c r="AB32" s="19"/>
      <c r="AC32" s="279"/>
      <c r="AD32" s="280"/>
      <c r="AE32" s="171" t="s">
        <v>107</v>
      </c>
      <c r="AF32" s="172"/>
      <c r="AG32" s="172"/>
      <c r="AH32" s="173"/>
      <c r="AI32" s="175">
        <v>3</v>
      </c>
      <c r="AJ32" s="176"/>
      <c r="AK32" s="177"/>
      <c r="AL32" s="178">
        <v>9</v>
      </c>
      <c r="AM32" s="169"/>
      <c r="AN32" s="170"/>
      <c r="AO32" s="168">
        <v>12</v>
      </c>
      <c r="AP32" s="169"/>
      <c r="AQ32" s="170"/>
      <c r="AR32" s="168">
        <v>15</v>
      </c>
      <c r="AS32" s="169"/>
      <c r="AT32" s="170"/>
      <c r="AU32" s="180">
        <v>18</v>
      </c>
      <c r="AV32" s="181"/>
      <c r="AW32" s="182"/>
      <c r="BB32" s="179"/>
      <c r="BC32" s="179"/>
      <c r="BD32" s="179"/>
      <c r="BE32" s="4"/>
    </row>
    <row r="33" spans="1:57" ht="15" customHeight="1" x14ac:dyDescent="0.75">
      <c r="A33" s="19"/>
      <c r="C33" s="3"/>
      <c r="D33" s="230"/>
      <c r="E33" s="231"/>
      <c r="F33" s="174" t="s">
        <v>108</v>
      </c>
      <c r="G33" s="172"/>
      <c r="H33" s="172"/>
      <c r="I33" s="172"/>
      <c r="J33" s="257"/>
      <c r="K33" s="264" t="s">
        <v>109</v>
      </c>
      <c r="L33" s="265"/>
      <c r="M33" s="265"/>
      <c r="N33" s="253" t="s">
        <v>105</v>
      </c>
      <c r="O33" s="253"/>
      <c r="P33" s="253"/>
      <c r="Q33" s="251" t="s">
        <v>100</v>
      </c>
      <c r="R33" s="251"/>
      <c r="S33" s="254"/>
      <c r="AA33" s="20"/>
      <c r="AB33" s="19"/>
      <c r="AC33" s="279"/>
      <c r="AD33" s="280"/>
      <c r="AE33" s="174"/>
      <c r="AF33" s="172"/>
      <c r="AG33" s="172"/>
      <c r="AH33" s="173"/>
      <c r="AI33" s="175"/>
      <c r="AJ33" s="176"/>
      <c r="AK33" s="177"/>
      <c r="AL33" s="178"/>
      <c r="AM33" s="169"/>
      <c r="AN33" s="170"/>
      <c r="AO33" s="168"/>
      <c r="AP33" s="169"/>
      <c r="AQ33" s="170"/>
      <c r="AR33" s="168"/>
      <c r="AS33" s="169"/>
      <c r="AT33" s="170"/>
      <c r="AU33" s="180"/>
      <c r="AV33" s="181"/>
      <c r="AW33" s="182"/>
      <c r="BB33" s="179" t="s">
        <v>110</v>
      </c>
      <c r="BC33" s="179"/>
      <c r="BD33" s="179"/>
      <c r="BE33" s="4"/>
    </row>
    <row r="34" spans="1:57" ht="15" customHeight="1" x14ac:dyDescent="0.75">
      <c r="A34" s="19"/>
      <c r="C34" s="3"/>
      <c r="D34" s="230"/>
      <c r="E34" s="231"/>
      <c r="F34" s="174"/>
      <c r="G34" s="172"/>
      <c r="H34" s="172"/>
      <c r="I34" s="172"/>
      <c r="J34" s="257"/>
      <c r="K34" s="264"/>
      <c r="L34" s="265"/>
      <c r="M34" s="265"/>
      <c r="N34" s="253"/>
      <c r="O34" s="253"/>
      <c r="P34" s="253"/>
      <c r="Q34" s="251"/>
      <c r="R34" s="251"/>
      <c r="S34" s="254"/>
      <c r="AA34" s="20"/>
      <c r="AB34" s="19"/>
      <c r="AC34" s="279"/>
      <c r="AD34" s="280"/>
      <c r="AE34" s="174"/>
      <c r="AF34" s="172"/>
      <c r="AG34" s="172"/>
      <c r="AH34" s="173"/>
      <c r="AI34" s="175"/>
      <c r="AJ34" s="176"/>
      <c r="AK34" s="177"/>
      <c r="AL34" s="178"/>
      <c r="AM34" s="169"/>
      <c r="AN34" s="170"/>
      <c r="AO34" s="168"/>
      <c r="AP34" s="169"/>
      <c r="AQ34" s="170"/>
      <c r="AR34" s="168"/>
      <c r="AS34" s="169"/>
      <c r="AT34" s="170"/>
      <c r="AU34" s="180"/>
      <c r="AV34" s="181"/>
      <c r="AW34" s="182"/>
      <c r="BB34" s="179"/>
      <c r="BC34" s="179"/>
      <c r="BD34" s="179"/>
      <c r="BE34" s="4"/>
    </row>
    <row r="35" spans="1:57" ht="15.75" customHeight="1" x14ac:dyDescent="0.75">
      <c r="A35" s="19"/>
      <c r="C35" s="3"/>
      <c r="D35" s="232"/>
      <c r="E35" s="233"/>
      <c r="F35" s="258"/>
      <c r="G35" s="209"/>
      <c r="H35" s="209"/>
      <c r="I35" s="209"/>
      <c r="J35" s="259"/>
      <c r="K35" s="266"/>
      <c r="L35" s="267"/>
      <c r="M35" s="267"/>
      <c r="N35" s="294"/>
      <c r="O35" s="294"/>
      <c r="P35" s="294"/>
      <c r="Q35" s="255"/>
      <c r="R35" s="255"/>
      <c r="S35" s="256"/>
      <c r="AA35" s="20"/>
      <c r="AB35" s="19"/>
      <c r="AC35" s="279"/>
      <c r="AD35" s="280"/>
      <c r="AE35" s="171" t="s">
        <v>111</v>
      </c>
      <c r="AF35" s="172"/>
      <c r="AG35" s="172"/>
      <c r="AH35" s="173"/>
      <c r="AI35" s="175">
        <v>4</v>
      </c>
      <c r="AJ35" s="176"/>
      <c r="AK35" s="177"/>
      <c r="AL35" s="178">
        <v>12</v>
      </c>
      <c r="AM35" s="169"/>
      <c r="AN35" s="170"/>
      <c r="AO35" s="180">
        <v>16</v>
      </c>
      <c r="AP35" s="181"/>
      <c r="AQ35" s="182"/>
      <c r="AR35" s="180">
        <v>20</v>
      </c>
      <c r="AS35" s="181"/>
      <c r="AT35" s="182"/>
      <c r="AU35" s="180">
        <v>24</v>
      </c>
      <c r="AV35" s="181"/>
      <c r="AW35" s="182"/>
      <c r="BB35" s="179"/>
      <c r="BC35" s="179"/>
      <c r="BD35" s="179"/>
      <c r="BE35" s="4"/>
    </row>
    <row r="36" spans="1:57" ht="15" customHeight="1" x14ac:dyDescent="0.75">
      <c r="A36" s="19"/>
      <c r="K36" s="240" t="s">
        <v>112</v>
      </c>
      <c r="L36" s="241"/>
      <c r="M36" s="241"/>
      <c r="N36" s="244" t="s">
        <v>113</v>
      </c>
      <c r="O36" s="244"/>
      <c r="P36" s="244"/>
      <c r="Q36" s="241" t="s">
        <v>114</v>
      </c>
      <c r="R36" s="241"/>
      <c r="S36" s="246"/>
      <c r="AA36" s="20"/>
      <c r="AB36" s="19"/>
      <c r="AC36" s="279"/>
      <c r="AD36" s="280"/>
      <c r="AE36" s="174"/>
      <c r="AF36" s="172"/>
      <c r="AG36" s="172"/>
      <c r="AH36" s="173"/>
      <c r="AI36" s="175"/>
      <c r="AJ36" s="176"/>
      <c r="AK36" s="177"/>
      <c r="AL36" s="178"/>
      <c r="AM36" s="169"/>
      <c r="AN36" s="170"/>
      <c r="AO36" s="180"/>
      <c r="AP36" s="181"/>
      <c r="AQ36" s="182"/>
      <c r="AR36" s="180"/>
      <c r="AS36" s="181"/>
      <c r="AT36" s="182"/>
      <c r="AU36" s="180"/>
      <c r="AV36" s="181"/>
      <c r="AW36" s="182"/>
      <c r="BE36" s="20"/>
    </row>
    <row r="37" spans="1:57" ht="15" customHeight="1" x14ac:dyDescent="0.75">
      <c r="A37" s="19"/>
      <c r="K37" s="242"/>
      <c r="L37" s="243"/>
      <c r="M37" s="243"/>
      <c r="N37" s="245"/>
      <c r="O37" s="245"/>
      <c r="P37" s="245"/>
      <c r="Q37" s="243"/>
      <c r="R37" s="243"/>
      <c r="S37" s="247"/>
      <c r="AA37" s="20"/>
      <c r="AB37" s="19"/>
      <c r="AC37" s="279"/>
      <c r="AD37" s="280"/>
      <c r="AE37" s="174"/>
      <c r="AF37" s="172"/>
      <c r="AG37" s="172"/>
      <c r="AH37" s="173"/>
      <c r="AI37" s="175"/>
      <c r="AJ37" s="176"/>
      <c r="AK37" s="177"/>
      <c r="AL37" s="178"/>
      <c r="AM37" s="169"/>
      <c r="AN37" s="170"/>
      <c r="AO37" s="180"/>
      <c r="AP37" s="181"/>
      <c r="AQ37" s="182"/>
      <c r="AR37" s="180"/>
      <c r="AS37" s="181"/>
      <c r="AT37" s="182"/>
      <c r="AU37" s="180"/>
      <c r="AV37" s="181"/>
      <c r="AW37" s="182"/>
      <c r="BE37" s="20"/>
    </row>
    <row r="38" spans="1:57" x14ac:dyDescent="0.75">
      <c r="A38" s="19"/>
      <c r="K38" s="242"/>
      <c r="L38" s="243"/>
      <c r="M38" s="243"/>
      <c r="N38" s="245"/>
      <c r="O38" s="245"/>
      <c r="P38" s="245"/>
      <c r="Q38" s="243"/>
      <c r="R38" s="243"/>
      <c r="S38" s="247"/>
      <c r="AA38" s="20"/>
      <c r="AB38" s="19"/>
      <c r="AC38" s="279"/>
      <c r="AD38" s="280"/>
      <c r="AE38" s="171" t="s">
        <v>115</v>
      </c>
      <c r="AF38" s="172"/>
      <c r="AG38" s="172"/>
      <c r="AH38" s="173"/>
      <c r="AI38" s="178">
        <v>5</v>
      </c>
      <c r="AJ38" s="169"/>
      <c r="AK38" s="170"/>
      <c r="AL38" s="178">
        <v>15</v>
      </c>
      <c r="AM38" s="169"/>
      <c r="AN38" s="170"/>
      <c r="AO38" s="180">
        <v>20</v>
      </c>
      <c r="AP38" s="181"/>
      <c r="AQ38" s="182"/>
      <c r="AR38" s="180">
        <v>25</v>
      </c>
      <c r="AS38" s="181"/>
      <c r="AT38" s="182"/>
      <c r="AU38" s="180">
        <v>30</v>
      </c>
      <c r="AV38" s="181"/>
      <c r="AW38" s="182"/>
      <c r="BE38" s="20"/>
    </row>
    <row r="39" spans="1:57" x14ac:dyDescent="0.75">
      <c r="A39" s="19"/>
      <c r="K39" s="242"/>
      <c r="L39" s="243"/>
      <c r="M39" s="243"/>
      <c r="N39" s="245"/>
      <c r="O39" s="245"/>
      <c r="P39" s="245"/>
      <c r="Q39" s="243"/>
      <c r="R39" s="243"/>
      <c r="S39" s="247"/>
      <c r="AA39" s="20"/>
      <c r="AB39" s="19"/>
      <c r="AC39" s="279"/>
      <c r="AD39" s="280"/>
      <c r="AE39" s="174"/>
      <c r="AF39" s="172"/>
      <c r="AG39" s="172"/>
      <c r="AH39" s="173"/>
      <c r="AI39" s="178"/>
      <c r="AJ39" s="169"/>
      <c r="AK39" s="170"/>
      <c r="AL39" s="178"/>
      <c r="AM39" s="169"/>
      <c r="AN39" s="170"/>
      <c r="AO39" s="180"/>
      <c r="AP39" s="181"/>
      <c r="AQ39" s="182"/>
      <c r="AR39" s="180"/>
      <c r="AS39" s="181"/>
      <c r="AT39" s="182"/>
      <c r="AU39" s="180"/>
      <c r="AV39" s="181"/>
      <c r="AW39" s="182"/>
      <c r="BE39" s="20"/>
    </row>
    <row r="40" spans="1:57" x14ac:dyDescent="0.75">
      <c r="A40" s="19"/>
      <c r="K40" s="242"/>
      <c r="L40" s="243"/>
      <c r="M40" s="243"/>
      <c r="N40" s="245"/>
      <c r="O40" s="245"/>
      <c r="P40" s="245"/>
      <c r="Q40" s="243"/>
      <c r="R40" s="243"/>
      <c r="S40" s="247"/>
      <c r="AA40" s="20"/>
      <c r="AB40" s="19"/>
      <c r="AC40" s="281"/>
      <c r="AD40" s="282"/>
      <c r="AE40" s="258"/>
      <c r="AF40" s="209"/>
      <c r="AG40" s="209"/>
      <c r="AH40" s="210"/>
      <c r="AI40" s="274"/>
      <c r="AJ40" s="275"/>
      <c r="AK40" s="276"/>
      <c r="AL40" s="274"/>
      <c r="AM40" s="275"/>
      <c r="AN40" s="276"/>
      <c r="AO40" s="222"/>
      <c r="AP40" s="223"/>
      <c r="AQ40" s="224"/>
      <c r="AR40" s="222"/>
      <c r="AS40" s="223"/>
      <c r="AT40" s="224"/>
      <c r="AU40" s="222"/>
      <c r="AV40" s="223"/>
      <c r="AW40" s="224"/>
      <c r="BE40" s="20"/>
    </row>
    <row r="41" spans="1:57" x14ac:dyDescent="0.75">
      <c r="A41" s="19"/>
      <c r="K41" s="242"/>
      <c r="L41" s="243"/>
      <c r="M41" s="243"/>
      <c r="N41" s="245"/>
      <c r="O41" s="245"/>
      <c r="P41" s="245"/>
      <c r="Q41" s="243"/>
      <c r="R41" s="243"/>
      <c r="S41" s="247"/>
      <c r="AA41" s="20"/>
      <c r="AB41" s="19"/>
      <c r="BE41" s="20"/>
    </row>
    <row r="42" spans="1:57" ht="15" customHeight="1" x14ac:dyDescent="0.75">
      <c r="A42" s="19"/>
      <c r="K42" s="242"/>
      <c r="L42" s="243"/>
      <c r="M42" s="243"/>
      <c r="N42" s="245"/>
      <c r="O42" s="245"/>
      <c r="P42" s="245"/>
      <c r="Q42" s="243"/>
      <c r="R42" s="243"/>
      <c r="S42" s="247"/>
      <c r="AA42" s="20"/>
      <c r="AB42" s="19"/>
      <c r="BE42" s="20"/>
    </row>
    <row r="43" spans="1:57" ht="15" customHeight="1" x14ac:dyDescent="0.75">
      <c r="A43" s="19"/>
      <c r="K43" s="242"/>
      <c r="L43" s="243"/>
      <c r="M43" s="243"/>
      <c r="N43" s="245"/>
      <c r="O43" s="245"/>
      <c r="P43" s="245"/>
      <c r="Q43" s="243"/>
      <c r="R43" s="243"/>
      <c r="S43" s="247"/>
      <c r="AA43" s="20"/>
      <c r="AB43" s="19"/>
      <c r="AC43" s="219" t="s">
        <v>116</v>
      </c>
      <c r="AD43" s="220"/>
      <c r="AE43" s="221"/>
      <c r="AF43" s="225" t="s">
        <v>117</v>
      </c>
      <c r="AG43" s="226"/>
      <c r="AH43" s="226"/>
      <c r="AI43" s="226"/>
      <c r="AJ43" s="226"/>
      <c r="AK43" s="226"/>
      <c r="AL43" s="226"/>
      <c r="AM43" s="226"/>
      <c r="AN43" s="226"/>
      <c r="AO43" s="226"/>
      <c r="AP43" s="226"/>
      <c r="AQ43" s="226"/>
      <c r="AR43" s="226"/>
      <c r="AS43" s="226"/>
      <c r="AT43" s="226"/>
      <c r="AU43" s="226"/>
      <c r="AV43" s="226"/>
      <c r="AW43" s="226"/>
      <c r="AX43" s="226"/>
      <c r="AY43" s="226"/>
      <c r="AZ43" s="226"/>
      <c r="BA43" s="226"/>
      <c r="BB43" s="226"/>
      <c r="BC43" s="226"/>
      <c r="BD43" s="227"/>
      <c r="BE43" s="20"/>
    </row>
    <row r="44" spans="1:57" x14ac:dyDescent="0.75">
      <c r="A44" s="19"/>
      <c r="K44" s="234" t="s">
        <v>118</v>
      </c>
      <c r="L44" s="235"/>
      <c r="M44" s="235"/>
      <c r="N44" s="235"/>
      <c r="O44" s="235"/>
      <c r="P44" s="235"/>
      <c r="Q44" s="235"/>
      <c r="R44" s="235"/>
      <c r="S44" s="236"/>
      <c r="AA44" s="20"/>
      <c r="AB44" s="19"/>
      <c r="AC44" s="268" t="s">
        <v>119</v>
      </c>
      <c r="AD44" s="269"/>
      <c r="AE44" s="270"/>
      <c r="AF44" s="214" t="s">
        <v>120</v>
      </c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6"/>
      <c r="BE44" s="20"/>
    </row>
    <row r="45" spans="1:57" ht="15" customHeight="1" x14ac:dyDescent="0.75">
      <c r="A45" s="19"/>
      <c r="K45" s="237"/>
      <c r="L45" s="238"/>
      <c r="M45" s="238"/>
      <c r="N45" s="238"/>
      <c r="O45" s="238"/>
      <c r="P45" s="238"/>
      <c r="Q45" s="238"/>
      <c r="R45" s="238"/>
      <c r="S45" s="239"/>
      <c r="AA45" s="20"/>
      <c r="AB45" s="19"/>
      <c r="AC45" s="271" t="s">
        <v>121</v>
      </c>
      <c r="AD45" s="272"/>
      <c r="AE45" s="273"/>
      <c r="AF45" s="217" t="s">
        <v>122</v>
      </c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217"/>
      <c r="BD45" s="218"/>
      <c r="BE45" s="20"/>
    </row>
    <row r="46" spans="1:57" ht="15.5" thickBot="1" x14ac:dyDescent="0.9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5"/>
      <c r="AB46" s="23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5"/>
    </row>
  </sheetData>
  <mergeCells count="164">
    <mergeCell ref="R22:S22"/>
    <mergeCell ref="B19:G19"/>
    <mergeCell ref="B20:G20"/>
    <mergeCell ref="B21:G21"/>
    <mergeCell ref="B22:G22"/>
    <mergeCell ref="B16:G16"/>
    <mergeCell ref="B17:G17"/>
    <mergeCell ref="H16:N16"/>
    <mergeCell ref="H17:N17"/>
    <mergeCell ref="H18:N18"/>
    <mergeCell ref="B23:G23"/>
    <mergeCell ref="O23:Q23"/>
    <mergeCell ref="B24:G24"/>
    <mergeCell ref="W22:Z22"/>
    <mergeCell ref="I6:K6"/>
    <mergeCell ref="H24:N24"/>
    <mergeCell ref="I7:K7"/>
    <mergeCell ref="I8:K8"/>
    <mergeCell ref="H22:N22"/>
    <mergeCell ref="T15:V15"/>
    <mergeCell ref="H19:N19"/>
    <mergeCell ref="H20:N20"/>
    <mergeCell ref="H21:N21"/>
    <mergeCell ref="O22:Q22"/>
    <mergeCell ref="W7:Y7"/>
    <mergeCell ref="W8:Y8"/>
    <mergeCell ref="O19:Q19"/>
    <mergeCell ref="O20:Q20"/>
    <mergeCell ref="O21:Q21"/>
    <mergeCell ref="W15:Z15"/>
    <mergeCell ref="W18:Z18"/>
    <mergeCell ref="R15:S15"/>
    <mergeCell ref="R18:S18"/>
    <mergeCell ref="B18:G18"/>
    <mergeCell ref="AC10:AF12"/>
    <mergeCell ref="AC13:AF14"/>
    <mergeCell ref="W19:Z19"/>
    <mergeCell ref="W20:Z20"/>
    <mergeCell ref="W21:Z21"/>
    <mergeCell ref="Q4:Y4"/>
    <mergeCell ref="AC6:AF7"/>
    <mergeCell ref="AC8:AF9"/>
    <mergeCell ref="Q7:V7"/>
    <mergeCell ref="Q6:V6"/>
    <mergeCell ref="Q5:V5"/>
    <mergeCell ref="W5:Y5"/>
    <mergeCell ref="W6:Y6"/>
    <mergeCell ref="AC15:AF16"/>
    <mergeCell ref="O16:Q16"/>
    <mergeCell ref="O17:Q17"/>
    <mergeCell ref="O18:Q18"/>
    <mergeCell ref="R17:S17"/>
    <mergeCell ref="R16:S16"/>
    <mergeCell ref="R21:S21"/>
    <mergeCell ref="R20:S20"/>
    <mergeCell ref="R19:S19"/>
    <mergeCell ref="W16:Z16"/>
    <mergeCell ref="W17:Z17"/>
    <mergeCell ref="T22:V22"/>
    <mergeCell ref="T23:V23"/>
    <mergeCell ref="T24:V24"/>
    <mergeCell ref="T16:V16"/>
    <mergeCell ref="T17:V17"/>
    <mergeCell ref="T18:V18"/>
    <mergeCell ref="T19:V19"/>
    <mergeCell ref="T20:V20"/>
    <mergeCell ref="T21:V21"/>
    <mergeCell ref="R24:S24"/>
    <mergeCell ref="R23:S23"/>
    <mergeCell ref="Q30:S32"/>
    <mergeCell ref="N27:P29"/>
    <mergeCell ref="Q27:S29"/>
    <mergeCell ref="N33:P35"/>
    <mergeCell ref="H23:N23"/>
    <mergeCell ref="W23:Z23"/>
    <mergeCell ref="W24:Z24"/>
    <mergeCell ref="O24:Q24"/>
    <mergeCell ref="AR26:AT28"/>
    <mergeCell ref="D27:E35"/>
    <mergeCell ref="K44:S45"/>
    <mergeCell ref="K36:M43"/>
    <mergeCell ref="N36:P43"/>
    <mergeCell ref="Q36:S43"/>
    <mergeCell ref="K27:M29"/>
    <mergeCell ref="K30:M32"/>
    <mergeCell ref="N30:P32"/>
    <mergeCell ref="Q33:S35"/>
    <mergeCell ref="F33:J35"/>
    <mergeCell ref="F30:J32"/>
    <mergeCell ref="F27:J29"/>
    <mergeCell ref="K33:M35"/>
    <mergeCell ref="AC44:AE44"/>
    <mergeCell ref="AC45:AE45"/>
    <mergeCell ref="AE38:AH40"/>
    <mergeCell ref="AI38:AK40"/>
    <mergeCell ref="AL38:AN40"/>
    <mergeCell ref="AO38:AQ40"/>
    <mergeCell ref="AC26:AD40"/>
    <mergeCell ref="AO26:AQ28"/>
    <mergeCell ref="AE35:AH37"/>
    <mergeCell ref="AI35:AK37"/>
    <mergeCell ref="AF44:BD44"/>
    <mergeCell ref="AF45:BD45"/>
    <mergeCell ref="AE32:AH34"/>
    <mergeCell ref="AI32:AK34"/>
    <mergeCell ref="AL32:AN34"/>
    <mergeCell ref="AO32:AQ34"/>
    <mergeCell ref="AL35:AN37"/>
    <mergeCell ref="AO35:AQ37"/>
    <mergeCell ref="AR35:AT37"/>
    <mergeCell ref="AU35:AW37"/>
    <mergeCell ref="BB33:BD35"/>
    <mergeCell ref="AC43:AE43"/>
    <mergeCell ref="AR38:AT40"/>
    <mergeCell ref="AU38:AW40"/>
    <mergeCell ref="AF43:BD43"/>
    <mergeCell ref="AU26:AW28"/>
    <mergeCell ref="AE29:AH31"/>
    <mergeCell ref="AI29:AK31"/>
    <mergeCell ref="AL29:AN31"/>
    <mergeCell ref="R14:S14"/>
    <mergeCell ref="T14:V14"/>
    <mergeCell ref="Q8:V8"/>
    <mergeCell ref="I5:K5"/>
    <mergeCell ref="BB30:BD32"/>
    <mergeCell ref="AR32:AT34"/>
    <mergeCell ref="AU32:AW34"/>
    <mergeCell ref="AC22:AH25"/>
    <mergeCell ref="AO29:AQ31"/>
    <mergeCell ref="AR29:AT31"/>
    <mergeCell ref="AI22:AW23"/>
    <mergeCell ref="AI24:AK25"/>
    <mergeCell ref="AL24:AN25"/>
    <mergeCell ref="AO24:AQ25"/>
    <mergeCell ref="AR24:AT25"/>
    <mergeCell ref="AU24:AW25"/>
    <mergeCell ref="AU29:AW31"/>
    <mergeCell ref="AE26:AH28"/>
    <mergeCell ref="AI26:AK28"/>
    <mergeCell ref="AL26:AN28"/>
    <mergeCell ref="A1:BE2"/>
    <mergeCell ref="AZ5:BD5"/>
    <mergeCell ref="AZ6:BD7"/>
    <mergeCell ref="AZ8:BD9"/>
    <mergeCell ref="AZ10:BD12"/>
    <mergeCell ref="AZ13:BD14"/>
    <mergeCell ref="AZ15:BD16"/>
    <mergeCell ref="AC4:BD4"/>
    <mergeCell ref="AG5:AY5"/>
    <mergeCell ref="AG6:AY7"/>
    <mergeCell ref="AG8:AY9"/>
    <mergeCell ref="AG10:AY12"/>
    <mergeCell ref="AG13:AY14"/>
    <mergeCell ref="AG15:AY16"/>
    <mergeCell ref="B13:Z13"/>
    <mergeCell ref="C4:K4"/>
    <mergeCell ref="C5:H5"/>
    <mergeCell ref="C6:H6"/>
    <mergeCell ref="C8:H8"/>
    <mergeCell ref="C7:H7"/>
    <mergeCell ref="W14:Z14"/>
    <mergeCell ref="O14:Q15"/>
    <mergeCell ref="H14:N15"/>
    <mergeCell ref="B14:G15"/>
  </mergeCells>
  <pageMargins left="0.70866141732283472" right="0.70866141732283472" top="0.74803149606299213" bottom="0.74803149606299213" header="0.31496062992125984" footer="0.31496062992125984"/>
  <pageSetup paperSize="9" scale="62" orientation="landscape" horizontalDpi="300" verticalDpi="300" r:id="rId1"/>
  <headerFooter>
    <oddFooter>&amp;LThis document is uncontrolled when not viewed on the Company's Activ system
Version 4 - 10/05/2024 13:38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6"/>
  <sheetViews>
    <sheetView showGridLines="0" topLeftCell="A13" zoomScaleNormal="100" workbookViewId="0">
      <selection activeCell="K38" sqref="K38"/>
    </sheetView>
  </sheetViews>
  <sheetFormatPr defaultRowHeight="14.75" x14ac:dyDescent="0.75"/>
  <cols>
    <col min="1" max="1" customWidth="true" width="19.7265625"/>
    <col min="2" max="2" customWidth="true" width="49.86328125"/>
    <col min="3" max="3" style="28" width="8.86328125"/>
    <col min="4" max="4" customWidth="true" width="2.7265625"/>
    <col min="5" max="5" bestFit="true" customWidth="true" width="16.54296875"/>
    <col min="6" max="6" bestFit="true" customWidth="true" width="21.54296875"/>
  </cols>
  <sheetData>
    <row r="1" spans="1:6" ht="18" customHeight="1" x14ac:dyDescent="0.75">
      <c r="A1" s="79" t="s">
        <v>123</v>
      </c>
      <c r="B1" s="79"/>
      <c r="C1" s="79"/>
      <c r="D1" s="79"/>
      <c r="E1" s="79"/>
      <c r="F1" s="79"/>
    </row>
    <row r="2" spans="1:6" ht="14.45" customHeight="1" x14ac:dyDescent="0.75">
      <c r="A2" s="79"/>
      <c r="B2" s="79"/>
      <c r="C2" s="79"/>
      <c r="D2" s="79"/>
      <c r="E2" s="79"/>
      <c r="F2" s="79"/>
    </row>
    <row r="3" spans="1:6" x14ac:dyDescent="0.75">
      <c r="A3" s="29" t="s">
        <v>124</v>
      </c>
      <c r="B3" s="29" t="s">
        <v>26</v>
      </c>
      <c r="C3" s="29" t="s">
        <v>125</v>
      </c>
      <c r="E3" s="43" t="s">
        <v>125</v>
      </c>
      <c r="F3" s="44" t="s">
        <v>126</v>
      </c>
    </row>
    <row r="4" spans="1:6" x14ac:dyDescent="0.75">
      <c r="A4" s="301" t="s">
        <v>127</v>
      </c>
      <c r="B4" s="31" t="s">
        <v>128</v>
      </c>
      <c r="C4" s="34" t="s">
        <v>129</v>
      </c>
      <c r="E4" s="302" t="s">
        <v>130</v>
      </c>
      <c r="F4" s="38" t="s">
        <v>131</v>
      </c>
    </row>
    <row r="5" spans="1:6" x14ac:dyDescent="0.75">
      <c r="A5" s="301"/>
      <c r="B5" s="32" t="s">
        <v>132</v>
      </c>
      <c r="C5" s="35" t="s">
        <v>129</v>
      </c>
      <c r="E5" s="303"/>
      <c r="F5" s="39" t="s">
        <v>133</v>
      </c>
    </row>
    <row r="6" spans="1:6" x14ac:dyDescent="0.75">
      <c r="A6" s="301"/>
      <c r="B6" s="32" t="s">
        <v>134</v>
      </c>
      <c r="C6" s="35" t="s">
        <v>129</v>
      </c>
      <c r="E6" s="303"/>
      <c r="F6" s="39" t="s">
        <v>135</v>
      </c>
    </row>
    <row r="7" spans="1:6" x14ac:dyDescent="0.75">
      <c r="A7" s="301"/>
      <c r="B7" s="32" t="s">
        <v>136</v>
      </c>
      <c r="C7" s="35" t="s">
        <v>129</v>
      </c>
      <c r="E7" s="303"/>
      <c r="F7" s="39" t="s">
        <v>137</v>
      </c>
    </row>
    <row r="8" spans="1:6" x14ac:dyDescent="0.75">
      <c r="A8" s="301"/>
      <c r="B8" s="32" t="s">
        <v>138</v>
      </c>
      <c r="C8" s="35" t="s">
        <v>129</v>
      </c>
      <c r="E8" s="303"/>
      <c r="F8" s="39" t="s">
        <v>139</v>
      </c>
    </row>
    <row r="9" spans="1:6" x14ac:dyDescent="0.75">
      <c r="A9" s="301"/>
      <c r="B9" s="30" t="s">
        <v>140</v>
      </c>
      <c r="C9" s="36" t="s">
        <v>129</v>
      </c>
      <c r="E9" s="304"/>
      <c r="F9" s="40" t="s">
        <v>141</v>
      </c>
    </row>
    <row r="10" spans="1:6" x14ac:dyDescent="0.75">
      <c r="A10" s="301" t="s">
        <v>142</v>
      </c>
      <c r="B10" s="31" t="s">
        <v>143</v>
      </c>
      <c r="C10" s="34" t="s">
        <v>144</v>
      </c>
      <c r="E10" s="302" t="s">
        <v>145</v>
      </c>
      <c r="F10" s="38" t="s">
        <v>146</v>
      </c>
    </row>
    <row r="11" spans="1:6" x14ac:dyDescent="0.75">
      <c r="A11" s="301"/>
      <c r="B11" s="32" t="s">
        <v>147</v>
      </c>
      <c r="C11" s="35" t="s">
        <v>144</v>
      </c>
      <c r="E11" s="303"/>
      <c r="F11" s="39" t="s">
        <v>148</v>
      </c>
    </row>
    <row r="12" spans="1:6" x14ac:dyDescent="0.75">
      <c r="A12" s="301"/>
      <c r="B12" s="32" t="s">
        <v>149</v>
      </c>
      <c r="C12" s="35" t="s">
        <v>144</v>
      </c>
      <c r="E12" s="303"/>
      <c r="F12" s="39" t="s">
        <v>150</v>
      </c>
    </row>
    <row r="13" spans="1:6" x14ac:dyDescent="0.75">
      <c r="A13" s="301"/>
      <c r="B13" s="32" t="s">
        <v>151</v>
      </c>
      <c r="C13" s="35" t="s">
        <v>144</v>
      </c>
      <c r="E13" s="303"/>
      <c r="F13" s="39" t="s">
        <v>152</v>
      </c>
    </row>
    <row r="14" spans="1:6" x14ac:dyDescent="0.75">
      <c r="A14" s="301"/>
      <c r="B14" s="30" t="s">
        <v>153</v>
      </c>
      <c r="C14" s="36" t="s">
        <v>144</v>
      </c>
      <c r="E14" s="303"/>
      <c r="F14" s="39" t="s">
        <v>154</v>
      </c>
    </row>
    <row r="15" spans="1:6" x14ac:dyDescent="0.75">
      <c r="A15" s="301" t="s">
        <v>155</v>
      </c>
      <c r="B15" s="31" t="s">
        <v>156</v>
      </c>
      <c r="C15" s="34" t="s">
        <v>129</v>
      </c>
      <c r="E15" s="304"/>
      <c r="F15" s="40" t="s">
        <v>157</v>
      </c>
    </row>
    <row r="16" spans="1:6" x14ac:dyDescent="0.75">
      <c r="A16" s="301"/>
      <c r="B16" s="32" t="s">
        <v>158</v>
      </c>
      <c r="C16" s="35" t="s">
        <v>129</v>
      </c>
      <c r="E16" s="42" t="s">
        <v>159</v>
      </c>
      <c r="F16" s="41"/>
    </row>
    <row r="17" spans="1:3" x14ac:dyDescent="0.75">
      <c r="A17" s="301"/>
      <c r="B17" s="32" t="s">
        <v>160</v>
      </c>
      <c r="C17" s="35" t="s">
        <v>129</v>
      </c>
    </row>
    <row r="18" spans="1:3" x14ac:dyDescent="0.75">
      <c r="A18" s="301"/>
      <c r="B18" s="30" t="s">
        <v>161</v>
      </c>
      <c r="C18" s="36" t="s">
        <v>129</v>
      </c>
    </row>
    <row r="19" spans="1:3" x14ac:dyDescent="0.75">
      <c r="A19" s="301" t="s">
        <v>162</v>
      </c>
      <c r="B19" s="31" t="s">
        <v>163</v>
      </c>
      <c r="C19" s="34" t="s">
        <v>129</v>
      </c>
    </row>
    <row r="20" spans="1:3" x14ac:dyDescent="0.75">
      <c r="A20" s="301"/>
      <c r="B20" s="32" t="s">
        <v>164</v>
      </c>
      <c r="C20" s="35" t="s">
        <v>129</v>
      </c>
    </row>
    <row r="21" spans="1:3" x14ac:dyDescent="0.75">
      <c r="A21" s="301"/>
      <c r="B21" s="30" t="s">
        <v>165</v>
      </c>
      <c r="C21" s="36" t="s">
        <v>129</v>
      </c>
    </row>
    <row r="22" spans="1:3" x14ac:dyDescent="0.75">
      <c r="A22" s="301" t="s">
        <v>166</v>
      </c>
      <c r="B22" s="31" t="s">
        <v>167</v>
      </c>
      <c r="C22" s="34" t="s">
        <v>168</v>
      </c>
    </row>
    <row r="23" spans="1:3" x14ac:dyDescent="0.75">
      <c r="A23" s="301"/>
      <c r="B23" s="32" t="s">
        <v>169</v>
      </c>
      <c r="C23" s="35" t="s">
        <v>168</v>
      </c>
    </row>
    <row r="24" spans="1:3" x14ac:dyDescent="0.75">
      <c r="A24" s="301"/>
      <c r="B24" s="32" t="s">
        <v>170</v>
      </c>
      <c r="C24" s="35" t="s">
        <v>168</v>
      </c>
    </row>
    <row r="25" spans="1:3" x14ac:dyDescent="0.75">
      <c r="A25" s="301"/>
      <c r="B25" s="32" t="s">
        <v>171</v>
      </c>
      <c r="C25" s="35" t="s">
        <v>168</v>
      </c>
    </row>
    <row r="26" spans="1:3" x14ac:dyDescent="0.75">
      <c r="A26" s="301"/>
      <c r="B26" s="32" t="s">
        <v>172</v>
      </c>
      <c r="C26" s="35" t="s">
        <v>168</v>
      </c>
    </row>
    <row r="27" spans="1:3" x14ac:dyDescent="0.75">
      <c r="A27" s="301"/>
      <c r="B27" s="32" t="s">
        <v>173</v>
      </c>
      <c r="C27" s="35" t="s">
        <v>174</v>
      </c>
    </row>
    <row r="28" spans="1:3" x14ac:dyDescent="0.75">
      <c r="A28" s="301"/>
      <c r="B28" s="32" t="s">
        <v>175</v>
      </c>
      <c r="C28" s="35" t="s">
        <v>174</v>
      </c>
    </row>
    <row r="29" spans="1:3" x14ac:dyDescent="0.75">
      <c r="A29" s="301"/>
      <c r="B29" s="32" t="s">
        <v>176</v>
      </c>
      <c r="C29" s="35" t="s">
        <v>168</v>
      </c>
    </row>
    <row r="30" spans="1:3" x14ac:dyDescent="0.75">
      <c r="A30" s="301"/>
      <c r="B30" s="33" t="s">
        <v>177</v>
      </c>
      <c r="C30" s="37" t="s">
        <v>174</v>
      </c>
    </row>
    <row r="31" spans="1:3" x14ac:dyDescent="0.75">
      <c r="A31" s="301"/>
      <c r="B31" s="30" t="s">
        <v>178</v>
      </c>
      <c r="C31" s="36" t="s">
        <v>168</v>
      </c>
    </row>
    <row r="32" spans="1:3" x14ac:dyDescent="0.75">
      <c r="A32" s="301" t="s">
        <v>179</v>
      </c>
      <c r="B32" s="31" t="s">
        <v>180</v>
      </c>
      <c r="C32" s="34" t="s">
        <v>41</v>
      </c>
    </row>
    <row r="33" spans="1:3" x14ac:dyDescent="0.75">
      <c r="A33" s="301"/>
      <c r="B33" s="32" t="s">
        <v>181</v>
      </c>
      <c r="C33" s="35" t="s">
        <v>41</v>
      </c>
    </row>
    <row r="34" spans="1:3" x14ac:dyDescent="0.75">
      <c r="A34" s="301"/>
      <c r="B34" s="32" t="s">
        <v>182</v>
      </c>
      <c r="C34" s="35" t="s">
        <v>174</v>
      </c>
    </row>
    <row r="35" spans="1:3" x14ac:dyDescent="0.75">
      <c r="A35" s="301"/>
      <c r="B35" s="32" t="s">
        <v>183</v>
      </c>
      <c r="C35" s="35" t="s">
        <v>41</v>
      </c>
    </row>
    <row r="36" spans="1:3" x14ac:dyDescent="0.75">
      <c r="A36" s="301"/>
      <c r="B36" s="30" t="s">
        <v>184</v>
      </c>
      <c r="C36" s="36" t="s">
        <v>174</v>
      </c>
    </row>
    <row r="37" spans="1:3" x14ac:dyDescent="0.75">
      <c r="A37" s="301" t="s">
        <v>185</v>
      </c>
      <c r="B37" s="31" t="s">
        <v>186</v>
      </c>
      <c r="C37" s="34" t="s">
        <v>168</v>
      </c>
    </row>
    <row r="38" spans="1:3" x14ac:dyDescent="0.75">
      <c r="A38" s="301"/>
      <c r="B38" s="32" t="s">
        <v>187</v>
      </c>
      <c r="C38" s="35" t="s">
        <v>168</v>
      </c>
    </row>
    <row r="39" spans="1:3" x14ac:dyDescent="0.75">
      <c r="A39" s="301"/>
      <c r="B39" s="32" t="s">
        <v>188</v>
      </c>
      <c r="C39" s="35" t="s">
        <v>174</v>
      </c>
    </row>
    <row r="40" spans="1:3" x14ac:dyDescent="0.75">
      <c r="A40" s="301"/>
      <c r="B40" s="32" t="s">
        <v>189</v>
      </c>
      <c r="C40" s="35" t="s">
        <v>174</v>
      </c>
    </row>
    <row r="41" spans="1:3" x14ac:dyDescent="0.75">
      <c r="A41" s="301"/>
      <c r="B41" s="30" t="s">
        <v>190</v>
      </c>
      <c r="C41" s="36" t="s">
        <v>168</v>
      </c>
    </row>
    <row r="42" spans="1:3" x14ac:dyDescent="0.75">
      <c r="A42" s="301" t="s">
        <v>166</v>
      </c>
      <c r="B42" s="31" t="s">
        <v>191</v>
      </c>
      <c r="C42" s="34" t="s">
        <v>41</v>
      </c>
    </row>
    <row r="43" spans="1:3" x14ac:dyDescent="0.75">
      <c r="A43" s="301"/>
      <c r="B43" s="32" t="s">
        <v>192</v>
      </c>
      <c r="C43" s="35" t="s">
        <v>174</v>
      </c>
    </row>
    <row r="44" spans="1:3" x14ac:dyDescent="0.75">
      <c r="A44" s="301"/>
      <c r="B44" s="32" t="s">
        <v>193</v>
      </c>
      <c r="C44" s="35" t="s">
        <v>168</v>
      </c>
    </row>
    <row r="45" spans="1:3" x14ac:dyDescent="0.75">
      <c r="A45" s="301"/>
      <c r="B45" s="32" t="s">
        <v>194</v>
      </c>
      <c r="C45" s="35" t="s">
        <v>168</v>
      </c>
    </row>
    <row r="46" spans="1:3" x14ac:dyDescent="0.75">
      <c r="A46" s="301"/>
      <c r="B46" s="30" t="s">
        <v>195</v>
      </c>
      <c r="C46" s="36" t="s">
        <v>129</v>
      </c>
    </row>
  </sheetData>
  <mergeCells count="11">
    <mergeCell ref="A22:A31"/>
    <mergeCell ref="A32:A36"/>
    <mergeCell ref="A37:A41"/>
    <mergeCell ref="A42:A46"/>
    <mergeCell ref="E4:E9"/>
    <mergeCell ref="E10:E15"/>
    <mergeCell ref="A1:F2"/>
    <mergeCell ref="A4:A9"/>
    <mergeCell ref="A10:A14"/>
    <mergeCell ref="A15:A18"/>
    <mergeCell ref="A19:A21"/>
  </mergeCells>
  <pageMargins left="0.70866141732283472" right="0.70866141732283472" top="0.43307086614173229" bottom="0.6692913385826772" header="0.31496062992125984" footer="0.31496062992125984"/>
  <pageSetup paperSize="9" scale="73" orientation="portrait" horizontalDpi="300" verticalDpi="300" r:id="rId1"/>
  <headerFooter>
    <oddFooter>&amp;LThis document is uncontrolled when not viewed on the Company's Activ system
Version 4 - 10/05/2024 13:38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432B-2887-4392-A1D8-9911C84E909C}">
  <sheetPr>
    <pageSetUpPr fitToPage="1"/>
  </sheetPr>
  <dimension ref="A1:AM29"/>
  <sheetViews>
    <sheetView showGridLines="0" zoomScale="70" zoomScaleNormal="70" workbookViewId="0">
      <selection activeCell="B20" sqref="B20:K20"/>
    </sheetView>
  </sheetViews>
  <sheetFormatPr defaultColWidth="9.08984375" defaultRowHeight="14.75" x14ac:dyDescent="0.75"/>
  <cols>
    <col min="1" max="1" customWidth="true" style="5" width="5.0"/>
    <col min="2" max="2" customWidth="true" style="5" width="30.453125"/>
    <col min="3" max="3" customWidth="true" style="5" width="11.81640625"/>
    <col min="4" max="4" style="5" width="9.08984375"/>
    <col min="5" max="5" customWidth="true" style="5" width="15.6796875"/>
    <col min="6" max="6" customWidth="true" style="5" width="11.6796875"/>
    <col min="7" max="7" customWidth="true" style="5" width="10.0"/>
    <col min="8" max="8" customWidth="true" style="5" width="16.6796875"/>
    <col min="9" max="9" customWidth="true" style="5" width="22.08984375"/>
    <col min="10" max="10" customWidth="true" style="5" width="11.81640625"/>
    <col min="11" max="13" customWidth="true" style="5" width="8.453125"/>
    <col min="14" max="14" customWidth="true" style="5" width="6.453125"/>
    <col min="15" max="15" customWidth="true" style="5" width="5.08984375"/>
    <col min="16" max="18" customWidth="true" style="5" width="4.54296875"/>
    <col min="19" max="19" customWidth="true" style="5" width="3.31640625"/>
    <col min="20" max="20" customWidth="true" style="5" width="4.0"/>
    <col min="21" max="21" customWidth="true" style="5" width="3.81640625"/>
    <col min="22" max="22" customWidth="true" style="5" width="11.6796875"/>
    <col min="23" max="25" style="5" width="9.08984375"/>
    <col min="26" max="26" customWidth="true" style="5" width="3.08984375"/>
    <col min="27" max="27" bestFit="true" customWidth="true" style="5" width="13.81640625"/>
    <col min="28" max="16384" style="5" width="9.08984375"/>
  </cols>
  <sheetData>
    <row r="1" spans="1:39" ht="18" customHeight="1" x14ac:dyDescent="0.75">
      <c r="A1" s="104" t="s">
        <v>20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39" ht="18" customHeight="1" thickBot="1" x14ac:dyDescent="0.9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</row>
    <row r="3" spans="1:39" ht="18" customHeight="1" x14ac:dyDescent="0.75">
      <c r="A3" s="111" t="s">
        <v>21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AA3" s="323" t="s">
        <v>238</v>
      </c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5"/>
    </row>
    <row r="4" spans="1:39" x14ac:dyDescent="0.75">
      <c r="A4" s="105" t="s">
        <v>22</v>
      </c>
      <c r="B4" s="310" t="s">
        <v>198</v>
      </c>
      <c r="C4" s="105" t="s">
        <v>24</v>
      </c>
      <c r="D4" s="105" t="s">
        <v>25</v>
      </c>
      <c r="E4" s="105" t="s">
        <v>26</v>
      </c>
      <c r="F4" s="113" t="s">
        <v>27</v>
      </c>
      <c r="G4" s="113"/>
      <c r="H4" s="105" t="s">
        <v>28</v>
      </c>
      <c r="I4" s="113" t="s">
        <v>29</v>
      </c>
      <c r="J4" s="113" t="s">
        <v>30</v>
      </c>
      <c r="K4" s="113"/>
      <c r="L4" s="105" t="s">
        <v>31</v>
      </c>
      <c r="M4" s="105"/>
      <c r="N4" s="112" t="s">
        <v>32</v>
      </c>
      <c r="O4" s="112"/>
      <c r="P4" s="112"/>
      <c r="Q4" s="112"/>
      <c r="R4" s="112"/>
      <c r="S4" s="105" t="s">
        <v>33</v>
      </c>
      <c r="T4" s="105"/>
      <c r="U4" s="105"/>
      <c r="V4" s="105"/>
      <c r="W4" s="105"/>
      <c r="X4" s="105" t="s">
        <v>34</v>
      </c>
      <c r="Y4" s="105"/>
      <c r="AA4" s="113" t="s">
        <v>27</v>
      </c>
      <c r="AB4" s="113"/>
      <c r="AC4" s="113" t="s">
        <v>30</v>
      </c>
      <c r="AD4" s="113"/>
      <c r="AE4" s="105" t="s">
        <v>31</v>
      </c>
      <c r="AF4" s="105"/>
      <c r="AG4" s="105" t="s">
        <v>33</v>
      </c>
      <c r="AH4" s="105"/>
      <c r="AI4" s="105"/>
      <c r="AJ4" s="105"/>
      <c r="AK4" s="105"/>
      <c r="AL4" s="105" t="s">
        <v>34</v>
      </c>
      <c r="AM4" s="105"/>
    </row>
    <row r="5" spans="1:39" ht="69" customHeight="1" x14ac:dyDescent="0.75">
      <c r="A5" s="105"/>
      <c r="B5" s="310"/>
      <c r="C5" s="105"/>
      <c r="D5" s="105"/>
      <c r="E5" s="105"/>
      <c r="F5" s="118"/>
      <c r="G5" s="118"/>
      <c r="H5" s="105"/>
      <c r="I5" s="113"/>
      <c r="J5" s="119"/>
      <c r="K5" s="119"/>
      <c r="L5" s="112"/>
      <c r="M5" s="112"/>
      <c r="N5" s="114" t="s">
        <v>199</v>
      </c>
      <c r="O5" s="114" t="s">
        <v>200</v>
      </c>
      <c r="P5" s="114" t="s">
        <v>201</v>
      </c>
      <c r="Q5" s="114" t="s">
        <v>202</v>
      </c>
      <c r="R5" s="114" t="s">
        <v>203</v>
      </c>
      <c r="S5" s="112"/>
      <c r="T5" s="112"/>
      <c r="U5" s="112"/>
      <c r="V5" s="112"/>
      <c r="W5" s="112"/>
      <c r="X5" s="112"/>
      <c r="Y5" s="112"/>
      <c r="AA5" s="118"/>
      <c r="AB5" s="118"/>
      <c r="AC5" s="119"/>
      <c r="AD5" s="119"/>
      <c r="AE5" s="112"/>
      <c r="AF5" s="112"/>
      <c r="AG5" s="112"/>
      <c r="AH5" s="112"/>
      <c r="AI5" s="112"/>
      <c r="AJ5" s="112"/>
      <c r="AK5" s="112"/>
      <c r="AL5" s="112"/>
      <c r="AM5" s="112"/>
    </row>
    <row r="6" spans="1:39" ht="37.5" customHeight="1" x14ac:dyDescent="0.75">
      <c r="A6" s="105"/>
      <c r="B6" s="310"/>
      <c r="C6" s="105"/>
      <c r="D6" s="105"/>
      <c r="E6" s="105"/>
      <c r="F6" s="10" t="s">
        <v>35</v>
      </c>
      <c r="G6" s="10" t="s">
        <v>36</v>
      </c>
      <c r="H6" s="105"/>
      <c r="I6" s="113"/>
      <c r="J6" s="11" t="s">
        <v>37</v>
      </c>
      <c r="K6" s="9" t="s">
        <v>36</v>
      </c>
      <c r="L6" s="10" t="s">
        <v>38</v>
      </c>
      <c r="M6" s="12" t="s">
        <v>36</v>
      </c>
      <c r="N6" s="115"/>
      <c r="O6" s="115"/>
      <c r="P6" s="115"/>
      <c r="Q6" s="115"/>
      <c r="R6" s="115"/>
      <c r="S6" s="13" t="s">
        <v>39</v>
      </c>
      <c r="T6" s="13" t="s">
        <v>40</v>
      </c>
      <c r="U6" s="10" t="s">
        <v>41</v>
      </c>
      <c r="V6" s="10" t="s">
        <v>42</v>
      </c>
      <c r="W6" s="10" t="s">
        <v>36</v>
      </c>
      <c r="X6" s="10" t="s">
        <v>36</v>
      </c>
      <c r="Y6" s="10" t="s">
        <v>43</v>
      </c>
      <c r="AA6" s="10" t="s">
        <v>35</v>
      </c>
      <c r="AB6" s="10" t="s">
        <v>36</v>
      </c>
      <c r="AC6" s="11" t="s">
        <v>37</v>
      </c>
      <c r="AD6" s="9" t="s">
        <v>36</v>
      </c>
      <c r="AE6" s="10" t="s">
        <v>38</v>
      </c>
      <c r="AF6" s="12" t="s">
        <v>36</v>
      </c>
      <c r="AG6" s="13" t="s">
        <v>39</v>
      </c>
      <c r="AH6" s="13" t="s">
        <v>40</v>
      </c>
      <c r="AI6" s="10" t="s">
        <v>41</v>
      </c>
      <c r="AJ6" s="10" t="s">
        <v>42</v>
      </c>
      <c r="AK6" s="10" t="s">
        <v>36</v>
      </c>
      <c r="AL6" s="10" t="s">
        <v>36</v>
      </c>
      <c r="AM6" s="10" t="s">
        <v>43</v>
      </c>
    </row>
    <row r="7" spans="1:39" x14ac:dyDescent="0.75">
      <c r="A7" s="47"/>
      <c r="B7" s="45" t="s">
        <v>44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AA7" s="318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</row>
    <row r="8" spans="1:39" ht="44.25" x14ac:dyDescent="0.75">
      <c r="A8" s="61">
        <v>1</v>
      </c>
      <c r="B8" s="14" t="s">
        <v>204</v>
      </c>
      <c r="C8" s="65" t="s">
        <v>205</v>
      </c>
      <c r="D8" s="14" t="s">
        <v>206</v>
      </c>
      <c r="E8" s="65" t="s">
        <v>166</v>
      </c>
      <c r="F8" s="14" t="s">
        <v>60</v>
      </c>
      <c r="G8" s="48">
        <f>IF(F8="","",IF(F8="&gt;1/month",3,IF(F8="&lt;1/year",1,2)))</f>
        <v>1</v>
      </c>
      <c r="H8" s="65" t="s">
        <v>207</v>
      </c>
      <c r="I8" s="65" t="s">
        <v>208</v>
      </c>
      <c r="J8" s="14" t="s">
        <v>209</v>
      </c>
      <c r="K8" s="48">
        <f>IF(J8="","",IF(J8="&gt;20%",3,IF(J8="&lt;1%",1,2)))</f>
        <v>1</v>
      </c>
      <c r="L8" s="48" t="str">
        <f>IF(M8="","",IF(M8=1,"V Low",IF(M8=2,"Low",IF(M8=3,"Medium",IF(M8=6,"V High","High")))))</f>
        <v>Low</v>
      </c>
      <c r="M8" s="48">
        <f>IF(SUM(K8,G8)&gt;0,SUM(K8,G8),"")</f>
        <v>2</v>
      </c>
      <c r="N8" s="14" t="s">
        <v>210</v>
      </c>
      <c r="O8" s="14" t="s">
        <v>210</v>
      </c>
      <c r="P8" s="14" t="s">
        <v>210</v>
      </c>
      <c r="Q8" s="14" t="s">
        <v>210</v>
      </c>
      <c r="R8" s="14" t="s">
        <v>210</v>
      </c>
      <c r="S8" s="14" t="s">
        <v>210</v>
      </c>
      <c r="T8" s="14" t="s">
        <v>210</v>
      </c>
      <c r="U8" s="14" t="s">
        <v>210</v>
      </c>
      <c r="V8" s="14" t="s">
        <v>84</v>
      </c>
      <c r="W8" s="48">
        <f>IF(V8="","",IF(V8="Major",5,IF(V8="High",4,IF(V8="Moderate",3,IF(V8="Minor",2,1)))))</f>
        <v>5</v>
      </c>
      <c r="X8" s="50">
        <f>IF(PRODUCT(M8,W8)&gt;0,PRODUCT(M8,W8),"")</f>
        <v>10</v>
      </c>
      <c r="Y8" s="48" t="str">
        <f t="shared" ref="Y8:Y18" si="0">IF(X8="","",IF(X8&lt;5,"Low",IF(X8&gt;15,"High","Medium")))</f>
        <v>Medium</v>
      </c>
      <c r="AA8" s="61" t="s">
        <v>60</v>
      </c>
      <c r="AB8" s="48">
        <f>IF(AA8="","",IF(AA8="&gt;1/month",3,IF(AA8="&lt;1/year",1,2)))</f>
        <v>1</v>
      </c>
      <c r="AC8" s="14" t="s">
        <v>209</v>
      </c>
      <c r="AD8" s="48">
        <f>IF(AC8="","",IF(AC8="&gt;20%",3,IF(AC8="&lt;1%",1,2)))</f>
        <v>1</v>
      </c>
      <c r="AE8" s="48" t="str">
        <f>IF(AF8="","",IF(AF8=1,"V Low",IF(AF8=2,"Low",IF(AF8=3,"Medium",IF(AF8=6,"V High","High")))))</f>
        <v>Low</v>
      </c>
      <c r="AF8" s="48">
        <f>IF(SUM(AD8,AB8)&gt;0,SUM(AD8,AB8),"")</f>
        <v>2</v>
      </c>
      <c r="AG8" s="14" t="s">
        <v>210</v>
      </c>
      <c r="AH8" s="14" t="s">
        <v>210</v>
      </c>
      <c r="AI8" s="14" t="s">
        <v>210</v>
      </c>
      <c r="AJ8" s="14" t="s">
        <v>84</v>
      </c>
      <c r="AK8" s="48">
        <f>IF(AJ8="","",IF(AJ8="Major",5,IF(AJ8="High",4,IF(AJ8="Moderate",3,IF(AJ8="Minor",2,1)))))</f>
        <v>5</v>
      </c>
      <c r="AL8" s="50">
        <f>IF(PRODUCT(AF8,AK8)&gt;0,PRODUCT(AF8,AK8),"")</f>
        <v>10</v>
      </c>
      <c r="AM8" s="48" t="str">
        <f>IF(AL8="","",IF(AL8&lt;5,"Low",IF(AL8&gt;15,"High","Medium")))</f>
        <v>Medium</v>
      </c>
    </row>
    <row r="9" spans="1:39" ht="59.25" customHeight="1" x14ac:dyDescent="0.75">
      <c r="A9" s="61">
        <v>2</v>
      </c>
      <c r="B9" s="14" t="s">
        <v>204</v>
      </c>
      <c r="C9" s="65" t="s">
        <v>205</v>
      </c>
      <c r="D9" s="14" t="s">
        <v>206</v>
      </c>
      <c r="E9" s="65" t="s">
        <v>211</v>
      </c>
      <c r="F9" s="14" t="s">
        <v>60</v>
      </c>
      <c r="G9" s="48">
        <f t="shared" ref="G9:G18" si="1">IF(F9="","",IF(F9="&gt;1/month",3,IF(F9="&lt;1/year",1,2)))</f>
        <v>1</v>
      </c>
      <c r="H9" s="65" t="s">
        <v>212</v>
      </c>
      <c r="I9" s="65" t="s">
        <v>208</v>
      </c>
      <c r="J9" s="14" t="s">
        <v>209</v>
      </c>
      <c r="K9" s="48">
        <f t="shared" ref="K9:K18" si="2">IF(J9="","",IF(J9="&gt;20%",3,IF(J9="&lt;1%",1,2)))</f>
        <v>1</v>
      </c>
      <c r="L9" s="48" t="str">
        <f>IF(M9="","",IF(M9=1,"V Low",IF(M9=2,"Low",IF(M9=3,"Medium",IF(M9=6,"V High","High")))))</f>
        <v>Low</v>
      </c>
      <c r="M9" s="48">
        <f>IF(SUM(K9,G9)&gt;0,SUM(K9,G9),"")</f>
        <v>2</v>
      </c>
      <c r="N9" s="14" t="s">
        <v>210</v>
      </c>
      <c r="O9" s="14" t="s">
        <v>210</v>
      </c>
      <c r="P9" s="14" t="s">
        <v>210</v>
      </c>
      <c r="Q9" s="14" t="s">
        <v>210</v>
      </c>
      <c r="R9" s="14" t="s">
        <v>210</v>
      </c>
      <c r="S9" s="14"/>
      <c r="T9" s="14"/>
      <c r="U9" s="14" t="s">
        <v>210</v>
      </c>
      <c r="V9" s="14" t="s">
        <v>76</v>
      </c>
      <c r="W9" s="48">
        <f t="shared" ref="W9:W18" si="3">IF(V9="","",IF(V9="Major",5,IF(V9="High",4,IF(V9="Moderate",3,IF(V9="Minor",2,1)))))</f>
        <v>4</v>
      </c>
      <c r="X9" s="50">
        <f t="shared" ref="X9:X18" si="4">IF(PRODUCT(M9,W9)&gt;0,PRODUCT(M9,W9),"")</f>
        <v>8</v>
      </c>
      <c r="Y9" s="48" t="str">
        <f t="shared" si="0"/>
        <v>Medium</v>
      </c>
      <c r="AA9" s="61" t="s">
        <v>60</v>
      </c>
      <c r="AB9" s="48">
        <f t="shared" ref="AB9:AB17" si="5">IF(AA9="","",IF(AA9="&gt;1/month",3,IF(AA9="&lt;1/year",1,2)))</f>
        <v>1</v>
      </c>
      <c r="AC9" s="14" t="s">
        <v>209</v>
      </c>
      <c r="AD9" s="48">
        <f t="shared" ref="AD9:AD17" si="6">IF(AC9="","",IF(AC9="&gt;20%",3,IF(AC9="&lt;1%",1,2)))</f>
        <v>1</v>
      </c>
      <c r="AE9" s="48" t="str">
        <f>IF(AF9="","",IF(AF9=1,"V Low",IF(AF9=2,"Low",IF(AF9=3,"Medium",IF(AF9=6,"V High","High")))))</f>
        <v>Low</v>
      </c>
      <c r="AF9" s="48">
        <f t="shared" ref="AF9:AF13" si="7">IF(SUM(AD9,AB9)&gt;0,SUM(AD9,AB9),"")</f>
        <v>2</v>
      </c>
      <c r="AG9" s="14"/>
      <c r="AH9" s="14"/>
      <c r="AI9" s="14" t="s">
        <v>210</v>
      </c>
      <c r="AJ9" s="14" t="s">
        <v>72</v>
      </c>
      <c r="AK9" s="48">
        <f t="shared" ref="AK9:AK17" si="8">IF(AJ9="","",IF(AJ9="Major",5,IF(AJ9="High",4,IF(AJ9="Moderate",3,IF(AJ9="Minor",2,1)))))</f>
        <v>3</v>
      </c>
      <c r="AL9" s="50">
        <f t="shared" ref="AL9:AL13" si="9">IF(PRODUCT(AF9,AK9)&gt;0,PRODUCT(AF9,AK9),"")</f>
        <v>6</v>
      </c>
      <c r="AM9" s="48" t="str">
        <f t="shared" ref="AM9:AM17" si="10">IF(AL9="","",IF(AL9&lt;5,"Low",IF(AL9&gt;15,"High","Medium")))</f>
        <v>Medium</v>
      </c>
    </row>
    <row r="10" spans="1:39" ht="44.25" x14ac:dyDescent="0.75">
      <c r="A10" s="61">
        <v>3</v>
      </c>
      <c r="B10" s="14" t="s">
        <v>204</v>
      </c>
      <c r="C10" s="65" t="s">
        <v>205</v>
      </c>
      <c r="D10" s="14" t="s">
        <v>206</v>
      </c>
      <c r="E10" s="65" t="s">
        <v>213</v>
      </c>
      <c r="F10" s="14" t="s">
        <v>60</v>
      </c>
      <c r="G10" s="48">
        <f t="shared" si="1"/>
        <v>1</v>
      </c>
      <c r="H10" s="65" t="s">
        <v>214</v>
      </c>
      <c r="I10" s="65" t="s">
        <v>215</v>
      </c>
      <c r="J10" s="14" t="s">
        <v>209</v>
      </c>
      <c r="K10" s="48">
        <f t="shared" si="2"/>
        <v>1</v>
      </c>
      <c r="L10" s="48" t="str">
        <f t="shared" ref="L10:L18" si="11">IF(M10="","",IF(M10=1,"V Low",IF(M10=2,"Low",IF(M10=3,"Medium",IF(M10=6,"V High","High")))))</f>
        <v>Low</v>
      </c>
      <c r="M10" s="48">
        <f t="shared" ref="M10:M18" si="12">IF(SUM(K10,G10)&gt;0,SUM(K10,G10),"")</f>
        <v>2</v>
      </c>
      <c r="N10" s="14" t="s">
        <v>210</v>
      </c>
      <c r="O10" s="14" t="s">
        <v>210</v>
      </c>
      <c r="P10" s="14" t="s">
        <v>210</v>
      </c>
      <c r="Q10" s="14" t="s">
        <v>210</v>
      </c>
      <c r="R10" s="14" t="s">
        <v>210</v>
      </c>
      <c r="S10" s="14" t="s">
        <v>210</v>
      </c>
      <c r="T10" s="14" t="s">
        <v>210</v>
      </c>
      <c r="U10" s="14"/>
      <c r="V10" s="14" t="s">
        <v>76</v>
      </c>
      <c r="W10" s="48">
        <f t="shared" si="3"/>
        <v>4</v>
      </c>
      <c r="X10" s="50">
        <f t="shared" si="4"/>
        <v>8</v>
      </c>
      <c r="Y10" s="48" t="str">
        <f t="shared" si="0"/>
        <v>Medium</v>
      </c>
      <c r="AA10" s="61" t="s">
        <v>60</v>
      </c>
      <c r="AB10" s="48">
        <f t="shared" si="5"/>
        <v>1</v>
      </c>
      <c r="AC10" s="14" t="s">
        <v>209</v>
      </c>
      <c r="AD10" s="48">
        <f t="shared" si="6"/>
        <v>1</v>
      </c>
      <c r="AE10" s="48" t="str">
        <f t="shared" ref="AE10:AE17" si="13">IF(AF10="","",IF(AF10=1,"V Low",IF(AF10=2,"Low",IF(AF10=3,"Medium",IF(AF10=6,"V High","High")))))</f>
        <v>Low</v>
      </c>
      <c r="AF10" s="48">
        <f t="shared" si="7"/>
        <v>2</v>
      </c>
      <c r="AG10" s="14" t="s">
        <v>210</v>
      </c>
      <c r="AH10" s="14" t="s">
        <v>210</v>
      </c>
      <c r="AI10" s="14"/>
      <c r="AJ10" s="14" t="s">
        <v>76</v>
      </c>
      <c r="AK10" s="48">
        <f t="shared" si="8"/>
        <v>4</v>
      </c>
      <c r="AL10" s="50">
        <f t="shared" si="9"/>
        <v>8</v>
      </c>
      <c r="AM10" s="48" t="str">
        <f t="shared" si="10"/>
        <v>Medium</v>
      </c>
    </row>
    <row r="11" spans="1:39" ht="29.5" x14ac:dyDescent="0.75">
      <c r="A11" s="61">
        <v>4</v>
      </c>
      <c r="B11" s="14" t="s">
        <v>204</v>
      </c>
      <c r="C11" s="65" t="s">
        <v>205</v>
      </c>
      <c r="D11" s="14" t="s">
        <v>206</v>
      </c>
      <c r="E11" s="65" t="s">
        <v>216</v>
      </c>
      <c r="F11" s="65" t="s">
        <v>196</v>
      </c>
      <c r="G11" s="48">
        <f t="shared" si="1"/>
        <v>2</v>
      </c>
      <c r="H11" s="14" t="s">
        <v>217</v>
      </c>
      <c r="I11" s="65" t="s">
        <v>218</v>
      </c>
      <c r="J11" s="14" t="s">
        <v>197</v>
      </c>
      <c r="K11" s="48">
        <f t="shared" si="2"/>
        <v>3</v>
      </c>
      <c r="L11" s="48" t="str">
        <f t="shared" si="11"/>
        <v>High</v>
      </c>
      <c r="M11" s="48">
        <f t="shared" si="12"/>
        <v>5</v>
      </c>
      <c r="N11" s="14" t="s">
        <v>210</v>
      </c>
      <c r="O11" s="14" t="s">
        <v>210</v>
      </c>
      <c r="P11" s="14" t="s">
        <v>210</v>
      </c>
      <c r="Q11" s="14" t="s">
        <v>210</v>
      </c>
      <c r="R11" s="14" t="s">
        <v>210</v>
      </c>
      <c r="S11" s="14"/>
      <c r="T11" s="14" t="s">
        <v>210</v>
      </c>
      <c r="U11" s="14"/>
      <c r="V11" s="14" t="s">
        <v>72</v>
      </c>
      <c r="W11" s="48">
        <f t="shared" si="3"/>
        <v>3</v>
      </c>
      <c r="X11" s="50">
        <f t="shared" si="4"/>
        <v>15</v>
      </c>
      <c r="Y11" s="48" t="str">
        <f t="shared" si="0"/>
        <v>Medium</v>
      </c>
      <c r="AA11" s="61" t="s">
        <v>196</v>
      </c>
      <c r="AB11" s="48">
        <f t="shared" si="5"/>
        <v>2</v>
      </c>
      <c r="AC11" s="14" t="s">
        <v>197</v>
      </c>
      <c r="AD11" s="48">
        <f t="shared" si="6"/>
        <v>3</v>
      </c>
      <c r="AE11" s="48" t="str">
        <f t="shared" si="13"/>
        <v>High</v>
      </c>
      <c r="AF11" s="48">
        <f t="shared" si="7"/>
        <v>5</v>
      </c>
      <c r="AG11" s="14"/>
      <c r="AH11" s="14" t="s">
        <v>210</v>
      </c>
      <c r="AI11" s="14"/>
      <c r="AJ11" s="14" t="s">
        <v>72</v>
      </c>
      <c r="AK11" s="48">
        <f t="shared" si="8"/>
        <v>3</v>
      </c>
      <c r="AL11" s="50">
        <f t="shared" si="9"/>
        <v>15</v>
      </c>
      <c r="AM11" s="48" t="str">
        <f t="shared" si="10"/>
        <v>Medium</v>
      </c>
    </row>
    <row r="12" spans="1:39" ht="41.25" customHeight="1" x14ac:dyDescent="0.75">
      <c r="A12" s="61">
        <v>5</v>
      </c>
      <c r="B12" s="14" t="s">
        <v>204</v>
      </c>
      <c r="C12" s="65" t="s">
        <v>205</v>
      </c>
      <c r="D12" s="14" t="s">
        <v>206</v>
      </c>
      <c r="E12" s="65" t="s">
        <v>216</v>
      </c>
      <c r="F12" s="65" t="s">
        <v>60</v>
      </c>
      <c r="G12" s="48">
        <f t="shared" si="1"/>
        <v>1</v>
      </c>
      <c r="H12" s="65" t="s">
        <v>219</v>
      </c>
      <c r="I12" s="65" t="s">
        <v>220</v>
      </c>
      <c r="J12" s="14" t="s">
        <v>209</v>
      </c>
      <c r="K12" s="48">
        <f t="shared" si="2"/>
        <v>1</v>
      </c>
      <c r="L12" s="48" t="str">
        <f t="shared" si="11"/>
        <v>Low</v>
      </c>
      <c r="M12" s="48">
        <f t="shared" si="12"/>
        <v>2</v>
      </c>
      <c r="N12" s="14" t="s">
        <v>210</v>
      </c>
      <c r="O12" s="14" t="s">
        <v>210</v>
      </c>
      <c r="P12" s="14" t="s">
        <v>210</v>
      </c>
      <c r="Q12" s="14" t="s">
        <v>210</v>
      </c>
      <c r="R12" s="14" t="s">
        <v>210</v>
      </c>
      <c r="S12" s="14" t="s">
        <v>210</v>
      </c>
      <c r="T12" s="14" t="s">
        <v>210</v>
      </c>
      <c r="U12" s="14"/>
      <c r="V12" s="14" t="s">
        <v>76</v>
      </c>
      <c r="W12" s="48">
        <f t="shared" si="3"/>
        <v>4</v>
      </c>
      <c r="X12" s="50">
        <f t="shared" si="4"/>
        <v>8</v>
      </c>
      <c r="Y12" s="48" t="str">
        <f t="shared" si="0"/>
        <v>Medium</v>
      </c>
      <c r="AA12" s="61" t="s">
        <v>60</v>
      </c>
      <c r="AB12" s="48">
        <f t="shared" ref="AB12:AB17" si="14">IF(AA12="","",IF(AA12="&gt;1/month",3,IF(AA12="&lt;1/year",1,2)))</f>
        <v>1</v>
      </c>
      <c r="AC12" s="14" t="s">
        <v>209</v>
      </c>
      <c r="AD12" s="48">
        <f t="shared" si="6"/>
        <v>1</v>
      </c>
      <c r="AE12" s="48" t="str">
        <f t="shared" si="13"/>
        <v>Low</v>
      </c>
      <c r="AF12" s="48">
        <f t="shared" si="7"/>
        <v>2</v>
      </c>
      <c r="AG12" s="14" t="s">
        <v>210</v>
      </c>
      <c r="AH12" s="14" t="s">
        <v>210</v>
      </c>
      <c r="AI12" s="14"/>
      <c r="AJ12" s="14" t="s">
        <v>76</v>
      </c>
      <c r="AK12" s="48">
        <f t="shared" si="8"/>
        <v>4</v>
      </c>
      <c r="AL12" s="50">
        <f t="shared" si="9"/>
        <v>8</v>
      </c>
      <c r="AM12" s="48" t="str">
        <f t="shared" si="10"/>
        <v>Medium</v>
      </c>
    </row>
    <row r="13" spans="1:39" ht="44.25" x14ac:dyDescent="0.75">
      <c r="A13" s="61">
        <v>6</v>
      </c>
      <c r="B13" s="14" t="s">
        <v>204</v>
      </c>
      <c r="C13" s="65" t="s">
        <v>205</v>
      </c>
      <c r="D13" s="14" t="s">
        <v>206</v>
      </c>
      <c r="E13" s="65" t="s">
        <v>216</v>
      </c>
      <c r="F13" s="65" t="s">
        <v>196</v>
      </c>
      <c r="G13" s="48">
        <f t="shared" si="1"/>
        <v>2</v>
      </c>
      <c r="H13" s="65" t="s">
        <v>221</v>
      </c>
      <c r="I13" s="65" t="s">
        <v>222</v>
      </c>
      <c r="J13" s="14" t="s">
        <v>223</v>
      </c>
      <c r="K13" s="48">
        <f t="shared" si="2"/>
        <v>2</v>
      </c>
      <c r="L13" s="48" t="str">
        <f t="shared" si="11"/>
        <v>High</v>
      </c>
      <c r="M13" s="48">
        <f t="shared" si="12"/>
        <v>4</v>
      </c>
      <c r="N13" s="14" t="s">
        <v>210</v>
      </c>
      <c r="O13" s="14" t="s">
        <v>210</v>
      </c>
      <c r="P13" s="14" t="s">
        <v>210</v>
      </c>
      <c r="Q13" s="14" t="s">
        <v>210</v>
      </c>
      <c r="R13" s="14" t="s">
        <v>210</v>
      </c>
      <c r="S13" s="14"/>
      <c r="T13" s="14" t="s">
        <v>210</v>
      </c>
      <c r="U13" s="14" t="s">
        <v>210</v>
      </c>
      <c r="V13" s="14" t="s">
        <v>76</v>
      </c>
      <c r="W13" s="48">
        <f t="shared" si="3"/>
        <v>4</v>
      </c>
      <c r="X13" s="50">
        <f t="shared" si="4"/>
        <v>16</v>
      </c>
      <c r="Y13" s="48" t="str">
        <f t="shared" si="0"/>
        <v>High</v>
      </c>
      <c r="AA13" s="61" t="s">
        <v>196</v>
      </c>
      <c r="AB13" s="48">
        <f t="shared" si="14"/>
        <v>2</v>
      </c>
      <c r="AC13" s="14" t="s">
        <v>223</v>
      </c>
      <c r="AD13" s="48">
        <f t="shared" si="6"/>
        <v>2</v>
      </c>
      <c r="AE13" s="48" t="str">
        <f t="shared" si="13"/>
        <v>High</v>
      </c>
      <c r="AF13" s="48">
        <f t="shared" si="7"/>
        <v>4</v>
      </c>
      <c r="AG13" s="14"/>
      <c r="AH13" s="14" t="s">
        <v>210</v>
      </c>
      <c r="AI13" s="14" t="s">
        <v>210</v>
      </c>
      <c r="AJ13" s="14" t="s">
        <v>72</v>
      </c>
      <c r="AK13" s="48">
        <f t="shared" si="8"/>
        <v>3</v>
      </c>
      <c r="AL13" s="50">
        <f t="shared" si="9"/>
        <v>12</v>
      </c>
      <c r="AM13" s="48" t="str">
        <f t="shared" si="10"/>
        <v>Medium</v>
      </c>
    </row>
    <row r="14" spans="1:39" x14ac:dyDescent="0.75">
      <c r="A14" s="61"/>
      <c r="B14" s="14"/>
      <c r="C14" s="14"/>
      <c r="D14" s="14"/>
      <c r="E14" s="14"/>
      <c r="F14" s="14"/>
      <c r="G14" s="48" t="str">
        <f t="shared" si="1"/>
        <v/>
      </c>
      <c r="H14" s="14"/>
      <c r="I14" s="14"/>
      <c r="J14" s="14"/>
      <c r="K14" s="48" t="str">
        <f t="shared" si="2"/>
        <v/>
      </c>
      <c r="L14" s="48" t="str">
        <f t="shared" si="11"/>
        <v/>
      </c>
      <c r="M14" s="48" t="str">
        <f t="shared" si="12"/>
        <v/>
      </c>
      <c r="N14" s="14"/>
      <c r="O14" s="14"/>
      <c r="P14" s="14"/>
      <c r="Q14" s="14"/>
      <c r="R14" s="14"/>
      <c r="S14" s="14"/>
      <c r="T14" s="14"/>
      <c r="U14" s="14"/>
      <c r="V14" s="14"/>
      <c r="W14" s="48" t="str">
        <f t="shared" si="3"/>
        <v/>
      </c>
      <c r="X14" s="50" t="str">
        <f t="shared" si="4"/>
        <v/>
      </c>
      <c r="Y14" s="48" t="str">
        <f t="shared" si="0"/>
        <v/>
      </c>
      <c r="AA14" s="61"/>
      <c r="AB14" s="48" t="str">
        <f t="shared" si="14"/>
        <v/>
      </c>
      <c r="AC14" s="14"/>
      <c r="AD14" s="48" t="str">
        <f t="shared" si="6"/>
        <v/>
      </c>
      <c r="AE14" s="48" t="str">
        <f t="shared" si="13"/>
        <v/>
      </c>
      <c r="AF14" s="48" t="str">
        <f t="shared" ref="AF10:AF17" si="15">IF(SUM(AD14,Z14)&gt;0,SUM(AD14,Z14),"")</f>
        <v/>
      </c>
      <c r="AG14" s="14"/>
      <c r="AH14" s="14"/>
      <c r="AI14" s="14"/>
      <c r="AJ14" s="14"/>
      <c r="AK14" s="48" t="str">
        <f t="shared" si="8"/>
        <v/>
      </c>
      <c r="AL14" s="50" t="str">
        <f t="shared" ref="AL9:AL17" si="16">IF(PRODUCT(AA14,AK14)&gt;0,PRODUCT(AA14,AK14),"")</f>
        <v/>
      </c>
      <c r="AM14" s="48" t="str">
        <f t="shared" si="10"/>
        <v/>
      </c>
    </row>
    <row r="15" spans="1:39" x14ac:dyDescent="0.75">
      <c r="A15" s="61"/>
      <c r="B15" s="14"/>
      <c r="C15" s="14"/>
      <c r="D15" s="14"/>
      <c r="E15" s="14"/>
      <c r="F15" s="14"/>
      <c r="G15" s="48" t="str">
        <f t="shared" si="1"/>
        <v/>
      </c>
      <c r="H15" s="14"/>
      <c r="I15" s="14"/>
      <c r="J15" s="14"/>
      <c r="K15" s="48" t="str">
        <f t="shared" si="2"/>
        <v/>
      </c>
      <c r="L15" s="48" t="str">
        <f t="shared" si="11"/>
        <v/>
      </c>
      <c r="M15" s="48" t="str">
        <f t="shared" si="12"/>
        <v/>
      </c>
      <c r="N15" s="14"/>
      <c r="O15" s="14"/>
      <c r="P15" s="14"/>
      <c r="Q15" s="14"/>
      <c r="R15" s="14"/>
      <c r="S15" s="14"/>
      <c r="T15" s="14"/>
      <c r="U15" s="14"/>
      <c r="V15" s="14"/>
      <c r="W15" s="48" t="str">
        <f t="shared" si="3"/>
        <v/>
      </c>
      <c r="X15" s="50" t="str">
        <f t="shared" si="4"/>
        <v/>
      </c>
      <c r="Y15" s="48" t="str">
        <f t="shared" si="0"/>
        <v/>
      </c>
      <c r="AA15" s="61"/>
      <c r="AB15" s="48" t="str">
        <f t="shared" si="14"/>
        <v/>
      </c>
      <c r="AC15" s="14"/>
      <c r="AD15" s="48" t="str">
        <f t="shared" si="6"/>
        <v/>
      </c>
      <c r="AE15" s="48" t="str">
        <f t="shared" si="13"/>
        <v/>
      </c>
      <c r="AF15" s="48" t="str">
        <f t="shared" si="15"/>
        <v/>
      </c>
      <c r="AG15" s="14"/>
      <c r="AH15" s="14"/>
      <c r="AI15" s="14"/>
      <c r="AJ15" s="14"/>
      <c r="AK15" s="48" t="str">
        <f t="shared" si="8"/>
        <v/>
      </c>
      <c r="AL15" s="50" t="str">
        <f t="shared" si="16"/>
        <v/>
      </c>
      <c r="AM15" s="48" t="str">
        <f t="shared" si="10"/>
        <v/>
      </c>
    </row>
    <row r="16" spans="1:39" x14ac:dyDescent="0.75">
      <c r="A16" s="61"/>
      <c r="B16" s="14"/>
      <c r="C16" s="14"/>
      <c r="D16" s="14"/>
      <c r="E16" s="14"/>
      <c r="F16" s="14"/>
      <c r="G16" s="48" t="str">
        <f t="shared" si="1"/>
        <v/>
      </c>
      <c r="H16" s="14"/>
      <c r="I16" s="14"/>
      <c r="J16" s="14"/>
      <c r="K16" s="48" t="str">
        <f t="shared" si="2"/>
        <v/>
      </c>
      <c r="L16" s="48" t="str">
        <f t="shared" si="11"/>
        <v/>
      </c>
      <c r="M16" s="48" t="str">
        <f t="shared" si="12"/>
        <v/>
      </c>
      <c r="N16" s="14"/>
      <c r="O16" s="14"/>
      <c r="P16" s="14"/>
      <c r="Q16" s="14"/>
      <c r="R16" s="14"/>
      <c r="S16" s="14"/>
      <c r="T16" s="14"/>
      <c r="U16" s="14"/>
      <c r="V16" s="14"/>
      <c r="W16" s="48" t="str">
        <f t="shared" si="3"/>
        <v/>
      </c>
      <c r="X16" s="50" t="str">
        <f t="shared" si="4"/>
        <v/>
      </c>
      <c r="Y16" s="48" t="str">
        <f t="shared" si="0"/>
        <v/>
      </c>
      <c r="AA16" s="61"/>
      <c r="AB16" s="48" t="str">
        <f t="shared" si="14"/>
        <v/>
      </c>
      <c r="AC16" s="14"/>
      <c r="AD16" s="48" t="str">
        <f t="shared" si="6"/>
        <v/>
      </c>
      <c r="AE16" s="48" t="str">
        <f t="shared" si="13"/>
        <v/>
      </c>
      <c r="AF16" s="48" t="str">
        <f t="shared" si="15"/>
        <v/>
      </c>
      <c r="AG16" s="14"/>
      <c r="AH16" s="14"/>
      <c r="AI16" s="14"/>
      <c r="AJ16" s="14"/>
      <c r="AK16" s="48" t="str">
        <f t="shared" si="8"/>
        <v/>
      </c>
      <c r="AL16" s="50" t="str">
        <f t="shared" si="16"/>
        <v/>
      </c>
      <c r="AM16" s="48" t="str">
        <f t="shared" si="10"/>
        <v/>
      </c>
    </row>
    <row r="17" spans="1:39" x14ac:dyDescent="0.75">
      <c r="A17" s="61"/>
      <c r="B17" s="14"/>
      <c r="C17" s="14"/>
      <c r="D17" s="14"/>
      <c r="E17" s="14"/>
      <c r="F17" s="14"/>
      <c r="G17" s="48" t="str">
        <f t="shared" si="1"/>
        <v/>
      </c>
      <c r="H17" s="14"/>
      <c r="I17" s="14"/>
      <c r="J17" s="14"/>
      <c r="K17" s="48" t="str">
        <f t="shared" si="2"/>
        <v/>
      </c>
      <c r="L17" s="48" t="str">
        <f t="shared" si="11"/>
        <v/>
      </c>
      <c r="M17" s="48" t="str">
        <f t="shared" si="12"/>
        <v/>
      </c>
      <c r="N17" s="14"/>
      <c r="O17" s="14"/>
      <c r="P17" s="14"/>
      <c r="Q17" s="14"/>
      <c r="R17" s="14"/>
      <c r="S17" s="14"/>
      <c r="T17" s="14"/>
      <c r="U17" s="14"/>
      <c r="V17" s="14"/>
      <c r="W17" s="48" t="str">
        <f t="shared" si="3"/>
        <v/>
      </c>
      <c r="X17" s="50" t="str">
        <f t="shared" si="4"/>
        <v/>
      </c>
      <c r="Y17" s="48" t="str">
        <f t="shared" si="0"/>
        <v/>
      </c>
      <c r="AA17" s="319"/>
      <c r="AB17" s="320" t="str">
        <f t="shared" si="14"/>
        <v/>
      </c>
      <c r="AC17" s="321"/>
      <c r="AD17" s="320" t="str">
        <f t="shared" si="6"/>
        <v/>
      </c>
      <c r="AE17" s="320" t="str">
        <f t="shared" si="13"/>
        <v/>
      </c>
      <c r="AF17" s="320" t="str">
        <f t="shared" si="15"/>
        <v/>
      </c>
      <c r="AG17" s="321"/>
      <c r="AH17" s="321"/>
      <c r="AI17" s="321"/>
      <c r="AJ17" s="321"/>
      <c r="AK17" s="320" t="str">
        <f t="shared" si="8"/>
        <v/>
      </c>
      <c r="AL17" s="322" t="str">
        <f t="shared" si="16"/>
        <v/>
      </c>
      <c r="AM17" s="320" t="str">
        <f t="shared" si="10"/>
        <v/>
      </c>
    </row>
    <row r="18" spans="1:39" x14ac:dyDescent="0.75">
      <c r="A18" s="62"/>
      <c r="B18" s="7"/>
      <c r="C18" s="7"/>
      <c r="D18" s="7"/>
      <c r="E18" s="7"/>
      <c r="F18" s="7"/>
      <c r="G18" s="49" t="str">
        <f t="shared" si="1"/>
        <v/>
      </c>
      <c r="H18" s="7"/>
      <c r="I18" s="7"/>
      <c r="J18" s="7"/>
      <c r="K18" s="49" t="str">
        <f t="shared" si="2"/>
        <v/>
      </c>
      <c r="L18" s="49" t="str">
        <f t="shared" si="11"/>
        <v/>
      </c>
      <c r="M18" s="49" t="str">
        <f t="shared" si="12"/>
        <v/>
      </c>
      <c r="N18" s="7"/>
      <c r="O18" s="7"/>
      <c r="P18" s="7"/>
      <c r="Q18" s="7"/>
      <c r="R18" s="7"/>
      <c r="S18" s="7"/>
      <c r="T18" s="7"/>
      <c r="U18" s="7"/>
      <c r="V18" s="7"/>
      <c r="W18" s="49" t="str">
        <f t="shared" si="3"/>
        <v/>
      </c>
      <c r="X18" s="51" t="str">
        <f t="shared" si="4"/>
        <v/>
      </c>
      <c r="Y18" s="48" t="str">
        <f t="shared" si="0"/>
        <v/>
      </c>
    </row>
    <row r="19" spans="1:39" ht="41.25" customHeight="1" x14ac:dyDescent="0.75">
      <c r="A19" s="8" t="s">
        <v>22</v>
      </c>
      <c r="B19" s="106" t="s">
        <v>240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6" t="s">
        <v>46</v>
      </c>
      <c r="M19" s="105"/>
      <c r="N19" s="105"/>
      <c r="O19" s="105"/>
      <c r="P19" s="105"/>
      <c r="Q19" s="105"/>
      <c r="R19" s="105"/>
      <c r="S19" s="106" t="s">
        <v>47</v>
      </c>
      <c r="T19" s="105"/>
      <c r="U19" s="105"/>
      <c r="V19" s="105"/>
      <c r="W19" s="105"/>
      <c r="X19" s="105"/>
      <c r="Y19" s="105"/>
    </row>
    <row r="20" spans="1:39" ht="26.25" customHeight="1" x14ac:dyDescent="0.75">
      <c r="A20" s="61">
        <v>6</v>
      </c>
      <c r="B20" s="109" t="s">
        <v>224</v>
      </c>
      <c r="C20" s="95"/>
      <c r="D20" s="95"/>
      <c r="E20" s="95"/>
      <c r="F20" s="95"/>
      <c r="G20" s="95"/>
      <c r="H20" s="95"/>
      <c r="I20" s="95"/>
      <c r="J20" s="95"/>
      <c r="K20" s="96"/>
      <c r="L20" s="109" t="s">
        <v>225</v>
      </c>
      <c r="M20" s="95"/>
      <c r="N20" s="95"/>
      <c r="O20" s="95"/>
      <c r="P20" s="95"/>
      <c r="Q20" s="95"/>
      <c r="R20" s="96"/>
      <c r="S20" s="309">
        <v>44228</v>
      </c>
      <c r="T20" s="88"/>
      <c r="U20" s="88"/>
      <c r="V20" s="88"/>
      <c r="W20" s="88"/>
      <c r="X20" s="88"/>
      <c r="Y20" s="89"/>
    </row>
    <row r="21" spans="1:39" ht="26.25" customHeight="1" x14ac:dyDescent="0.75">
      <c r="A21" s="63">
        <v>6</v>
      </c>
      <c r="B21" s="110" t="s">
        <v>226</v>
      </c>
      <c r="C21" s="98"/>
      <c r="D21" s="98"/>
      <c r="E21" s="98"/>
      <c r="F21" s="98"/>
      <c r="G21" s="98"/>
      <c r="H21" s="98"/>
      <c r="I21" s="98"/>
      <c r="J21" s="98"/>
      <c r="K21" s="99"/>
      <c r="L21" s="110" t="s">
        <v>227</v>
      </c>
      <c r="M21" s="98"/>
      <c r="N21" s="98"/>
      <c r="O21" s="98"/>
      <c r="P21" s="98"/>
      <c r="Q21" s="98"/>
      <c r="R21" s="99"/>
      <c r="S21" s="308">
        <v>44235</v>
      </c>
      <c r="T21" s="91"/>
      <c r="U21" s="91"/>
      <c r="V21" s="91"/>
      <c r="W21" s="91"/>
      <c r="X21" s="91"/>
      <c r="Y21" s="92"/>
    </row>
    <row r="22" spans="1:39" ht="26.25" customHeight="1" x14ac:dyDescent="0.75">
      <c r="A22" s="63" t="s">
        <v>228</v>
      </c>
      <c r="B22" s="110" t="s">
        <v>229</v>
      </c>
      <c r="C22" s="98"/>
      <c r="D22" s="98"/>
      <c r="E22" s="98"/>
      <c r="F22" s="98"/>
      <c r="G22" s="98"/>
      <c r="H22" s="98"/>
      <c r="I22" s="98"/>
      <c r="J22" s="98"/>
      <c r="K22" s="99"/>
      <c r="L22" s="110" t="s">
        <v>225</v>
      </c>
      <c r="M22" s="98"/>
      <c r="N22" s="98"/>
      <c r="O22" s="98"/>
      <c r="P22" s="98"/>
      <c r="Q22" s="98"/>
      <c r="R22" s="99"/>
      <c r="S22" s="308">
        <v>44228</v>
      </c>
      <c r="T22" s="91"/>
      <c r="U22" s="91"/>
      <c r="V22" s="91"/>
      <c r="W22" s="91"/>
      <c r="X22" s="91"/>
      <c r="Y22" s="92"/>
    </row>
    <row r="23" spans="1:39" ht="26.25" customHeight="1" x14ac:dyDescent="0.75">
      <c r="A23" s="64">
        <v>3</v>
      </c>
      <c r="B23" s="117" t="s">
        <v>239</v>
      </c>
      <c r="C23" s="101"/>
      <c r="D23" s="101"/>
      <c r="E23" s="101"/>
      <c r="F23" s="101"/>
      <c r="G23" s="101"/>
      <c r="H23" s="101"/>
      <c r="I23" s="101"/>
      <c r="J23" s="101"/>
      <c r="K23" s="102"/>
      <c r="L23" s="117" t="s">
        <v>225</v>
      </c>
      <c r="M23" s="101"/>
      <c r="N23" s="101"/>
      <c r="O23" s="101"/>
      <c r="P23" s="101"/>
      <c r="Q23" s="101"/>
      <c r="R23" s="102"/>
      <c r="S23" s="328">
        <v>44228</v>
      </c>
      <c r="T23" s="85"/>
      <c r="U23" s="85"/>
      <c r="V23" s="85"/>
      <c r="W23" s="85"/>
      <c r="X23" s="85"/>
      <c r="Y23" s="86"/>
    </row>
    <row r="24" spans="1:39" s="6" customFormat="1" ht="33" customHeight="1" x14ac:dyDescent="0.75">
      <c r="A24" s="103" t="s">
        <v>48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spans="1:39" s="1" customFormat="1" ht="27" customHeight="1" x14ac:dyDescent="0.75">
      <c r="A25" s="93" t="s">
        <v>49</v>
      </c>
      <c r="B25" s="93"/>
      <c r="C25" s="93"/>
      <c r="D25" s="93"/>
      <c r="E25" s="93"/>
      <c r="F25" s="93" t="s">
        <v>50</v>
      </c>
      <c r="G25" s="93"/>
      <c r="H25" s="93"/>
      <c r="I25" s="93"/>
      <c r="J25" s="93"/>
      <c r="K25" s="93"/>
      <c r="L25" s="93" t="s">
        <v>51</v>
      </c>
      <c r="M25" s="93"/>
      <c r="N25" s="93"/>
      <c r="O25" s="93"/>
      <c r="P25" s="93"/>
      <c r="Q25" s="93"/>
      <c r="R25" s="93"/>
      <c r="S25" s="93" t="s">
        <v>14</v>
      </c>
      <c r="T25" s="93"/>
      <c r="U25" s="93"/>
      <c r="V25" s="93"/>
      <c r="W25" s="93"/>
      <c r="X25" s="93"/>
      <c r="Y25" s="93"/>
    </row>
    <row r="26" spans="1:39" ht="25.5" customHeight="1" x14ac:dyDescent="0.75">
      <c r="A26" s="94" t="s">
        <v>230</v>
      </c>
      <c r="B26" s="95"/>
      <c r="C26" s="95"/>
      <c r="D26" s="95"/>
      <c r="E26" s="96"/>
      <c r="F26" s="94" t="s">
        <v>231</v>
      </c>
      <c r="G26" s="95"/>
      <c r="H26" s="95"/>
      <c r="I26" s="95"/>
      <c r="J26" s="95"/>
      <c r="K26" s="96"/>
      <c r="L26" s="87"/>
      <c r="M26" s="88"/>
      <c r="N26" s="88"/>
      <c r="O26" s="88"/>
      <c r="P26" s="88"/>
      <c r="Q26" s="88"/>
      <c r="R26" s="89"/>
      <c r="S26" s="307">
        <v>44204</v>
      </c>
      <c r="T26" s="88"/>
      <c r="U26" s="88"/>
      <c r="V26" s="88"/>
      <c r="W26" s="88"/>
      <c r="X26" s="88"/>
      <c r="Y26" s="89"/>
    </row>
    <row r="27" spans="1:39" ht="25.5" customHeight="1" x14ac:dyDescent="0.75">
      <c r="A27" s="97" t="s">
        <v>232</v>
      </c>
      <c r="B27" s="98"/>
      <c r="C27" s="98"/>
      <c r="D27" s="98"/>
      <c r="E27" s="99"/>
      <c r="F27" s="97" t="s">
        <v>233</v>
      </c>
      <c r="G27" s="98"/>
      <c r="H27" s="98"/>
      <c r="I27" s="98"/>
      <c r="J27" s="98"/>
      <c r="K27" s="99"/>
      <c r="L27" s="90"/>
      <c r="M27" s="91"/>
      <c r="N27" s="91"/>
      <c r="O27" s="91"/>
      <c r="P27" s="91"/>
      <c r="Q27" s="91"/>
      <c r="R27" s="92"/>
      <c r="S27" s="305">
        <v>44204</v>
      </c>
      <c r="T27" s="91"/>
      <c r="U27" s="91"/>
      <c r="V27" s="91"/>
      <c r="W27" s="91"/>
      <c r="X27" s="91"/>
      <c r="Y27" s="92"/>
    </row>
    <row r="28" spans="1:39" ht="25.5" customHeight="1" x14ac:dyDescent="0.75">
      <c r="A28" s="97" t="s">
        <v>234</v>
      </c>
      <c r="B28" s="98"/>
      <c r="C28" s="98"/>
      <c r="D28" s="98"/>
      <c r="E28" s="99"/>
      <c r="F28" s="97" t="s">
        <v>235</v>
      </c>
      <c r="G28" s="98"/>
      <c r="H28" s="98"/>
      <c r="I28" s="98"/>
      <c r="J28" s="98"/>
      <c r="K28" s="99"/>
      <c r="L28" s="90"/>
      <c r="M28" s="91"/>
      <c r="N28" s="91"/>
      <c r="O28" s="91"/>
      <c r="P28" s="91"/>
      <c r="Q28" s="91"/>
      <c r="R28" s="92"/>
      <c r="S28" s="305">
        <v>44204</v>
      </c>
      <c r="T28" s="91"/>
      <c r="U28" s="91"/>
      <c r="V28" s="91"/>
      <c r="W28" s="91"/>
      <c r="X28" s="91"/>
      <c r="Y28" s="92"/>
    </row>
    <row r="29" spans="1:39" ht="25.5" customHeight="1" x14ac:dyDescent="0.75">
      <c r="A29" s="100" t="s">
        <v>236</v>
      </c>
      <c r="B29" s="101"/>
      <c r="C29" s="101"/>
      <c r="D29" s="101"/>
      <c r="E29" s="102"/>
      <c r="F29" s="100" t="s">
        <v>237</v>
      </c>
      <c r="G29" s="101"/>
      <c r="H29" s="101"/>
      <c r="I29" s="101"/>
      <c r="J29" s="101"/>
      <c r="K29" s="102"/>
      <c r="L29" s="84"/>
      <c r="M29" s="85"/>
      <c r="N29" s="85"/>
      <c r="O29" s="85"/>
      <c r="P29" s="85"/>
      <c r="Q29" s="85"/>
      <c r="R29" s="86"/>
      <c r="S29" s="306">
        <v>44204</v>
      </c>
      <c r="T29" s="85"/>
      <c r="U29" s="85"/>
      <c r="V29" s="85"/>
      <c r="W29" s="85"/>
      <c r="X29" s="85"/>
      <c r="Y29" s="86"/>
    </row>
  </sheetData>
  <sheetProtection formatCells="0" insertRows="0" deleteRows="0"/>
  <mergeCells count="62">
    <mergeCell ref="AA3:AM3"/>
    <mergeCell ref="AA4:AB5"/>
    <mergeCell ref="AC4:AD5"/>
    <mergeCell ref="AE4:AF5"/>
    <mergeCell ref="AG4:AK5"/>
    <mergeCell ref="AL4:AM5"/>
    <mergeCell ref="A1:Y2"/>
    <mergeCell ref="A3:Y3"/>
    <mergeCell ref="A4:A6"/>
    <mergeCell ref="B4:B6"/>
    <mergeCell ref="C4:C6"/>
    <mergeCell ref="D4:D6"/>
    <mergeCell ref="E4:E6"/>
    <mergeCell ref="F4:G5"/>
    <mergeCell ref="H4:H6"/>
    <mergeCell ref="I4:I6"/>
    <mergeCell ref="J4:K5"/>
    <mergeCell ref="L4:M5"/>
    <mergeCell ref="N4:R4"/>
    <mergeCell ref="S4:W5"/>
    <mergeCell ref="X4:Y5"/>
    <mergeCell ref="N5:N6"/>
    <mergeCell ref="O5:O6"/>
    <mergeCell ref="P5:P6"/>
    <mergeCell ref="Q5:Q6"/>
    <mergeCell ref="R5:R6"/>
    <mergeCell ref="B19:K19"/>
    <mergeCell ref="L19:R19"/>
    <mergeCell ref="S19:Y19"/>
    <mergeCell ref="B20:K20"/>
    <mergeCell ref="L20:R20"/>
    <mergeCell ref="S20:Y20"/>
    <mergeCell ref="B21:K21"/>
    <mergeCell ref="L21:R21"/>
    <mergeCell ref="S21:Y21"/>
    <mergeCell ref="B22:K22"/>
    <mergeCell ref="L22:R22"/>
    <mergeCell ref="S22:Y22"/>
    <mergeCell ref="B23:K23"/>
    <mergeCell ref="L23:R23"/>
    <mergeCell ref="S23:Y23"/>
    <mergeCell ref="A24:Y24"/>
    <mergeCell ref="A25:E25"/>
    <mergeCell ref="F25:K25"/>
    <mergeCell ref="L25:R25"/>
    <mergeCell ref="S25:Y25"/>
    <mergeCell ref="A26:E26"/>
    <mergeCell ref="F26:K26"/>
    <mergeCell ref="L26:R26"/>
    <mergeCell ref="S26:Y26"/>
    <mergeCell ref="A27:E27"/>
    <mergeCell ref="F27:K27"/>
    <mergeCell ref="L27:R27"/>
    <mergeCell ref="S27:Y27"/>
    <mergeCell ref="A28:E28"/>
    <mergeCell ref="F28:K28"/>
    <mergeCell ref="L28:R28"/>
    <mergeCell ref="S28:Y28"/>
    <mergeCell ref="A29:E29"/>
    <mergeCell ref="F29:K29"/>
    <mergeCell ref="L29:R29"/>
    <mergeCell ref="S29:Y29"/>
  </mergeCells>
  <dataValidations count="3">
    <dataValidation type="list" allowBlank="1" showInputMessage="1" showErrorMessage="1" sqref="J8:J18 AC8:AC17" xr:uid="{97572FAC-833E-426F-99F6-2149D99AB857}">
      <formula1>"&lt;1%,1%-20%,&gt;20%"</formula1>
    </dataValidation>
    <dataValidation type="list" allowBlank="1" showInputMessage="1" showErrorMessage="1" sqref="F8:F18 AA8:AA17" xr:uid="{083F2FA5-9F2D-4C93-B3F8-1116D4CF1775}">
      <formula1>"&gt;1/month,1/month-1/year,&lt;1/year"</formula1>
    </dataValidation>
    <dataValidation type="list" allowBlank="1" showInputMessage="1" showErrorMessage="1" sqref="V8:V18 AJ8:AJ17" xr:uid="{799C32D6-D457-47B8-8146-2D6230C3FDA1}">
      <formula1>"Insignificant,Minor,Moderate,High,Major"</formula1>
    </dataValidation>
  </dataValidations>
  <pageMargins left="0.23622047244094491" right="0.55118110236220474" top="0.39370078740157483" bottom="0.48141666666666666" header="0.31496062992125984" footer="0.31496062992125984"/>
  <pageSetup scale="53" fitToHeight="3" orientation="landscape" r:id="rId1"/>
  <headerFooter>
    <oddFooter>&amp;LThis document is uncontrolled when not viewed on the Company's Activ system
Version 4 - 10/05/2024 13:38</oddFooter>
  </headerFooter>
  <legacy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5300542EE8247B4DFE0840CAB86E1" ma:contentTypeVersion="2" ma:contentTypeDescription="Create a new document." ma:contentTypeScope="" ma:versionID="3a0cdd3c0c8e0b57f8bb25c9cc4be53b">
  <xsd:schema xmlns:xsd="http://www.w3.org/2001/XMLSchema" xmlns:xs="http://www.w3.org/2001/XMLSchema" xmlns:p="http://schemas.microsoft.com/office/2006/metadata/properties" xmlns:ns2="1bad35f5-cae7-44ee-9b97-bd317891df28" targetNamespace="http://schemas.microsoft.com/office/2006/metadata/properties" ma:root="true" ma:fieldsID="fe178e663c11ffd9e972ee222ce66bac" ns2:_="">
    <xsd:import namespace="1bad35f5-cae7-44ee-9b97-bd317891d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d35f5-cae7-44ee-9b97-bd317891d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54357C-7456-4FB2-8F03-BB0A50EDA7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d35f5-cae7-44ee-9b97-bd317891df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D21660-EFE9-41C0-B921-7A61D828479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264a44f-8343-412c-8492-c57a6cf35829}" enabled="1" method="Privileged" siteId="{d18b8e0b-3905-41f7-9403-dbf6c8d8b9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Change Request</vt:lpstr>
      <vt:lpstr>Change Risk Assessment</vt:lpstr>
      <vt:lpstr>Criteria</vt:lpstr>
      <vt:lpstr>Threats</vt:lpstr>
      <vt:lpstr>EXAMPLE Change Risk Assessment</vt:lpstr>
      <vt:lpstr>'Change Risk Assessment'!Print_Titles</vt:lpstr>
      <vt:lpstr>'EXAMPLE Change Risk Assessment'!Print_Titles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2012-05-24T11:04:12Z</dcterms:created>
  <dc:creator>Julian Russell</dc:creator>
  <cp:lastModifiedBy>Tom Bristow</cp:lastModifiedBy>
  <cp:lastPrinted>2024-05-10T08:26:40Z</cp:lastPrinted>
  <dcterms:modified xsi:type="dcterms:W3CDTF">2024-05-10T12:37:18Z</dcterms:modified>
</cp:coreProperties>
</file>